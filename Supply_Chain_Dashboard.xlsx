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6504c5d31b65f6cf/"/>
    </mc:Choice>
  </mc:AlternateContent>
  <xr:revisionPtr revIDLastSave="0" documentId="8_{F093673E-C2BB-4A27-A420-3299310F5E2D}" xr6:coauthVersionLast="47" xr6:coauthVersionMax="47" xr10:uidLastSave="{00000000-0000-0000-0000-000000000000}"/>
  <bookViews>
    <workbookView xWindow="-108" yWindow="-108" windowWidth="23256" windowHeight="12456" activeTab="3" xr2:uid="{C4B0D477-A501-4672-8C88-0B757FE54BE3}"/>
  </bookViews>
  <sheets>
    <sheet name="supply_chain_data" sheetId="1" r:id="rId1"/>
    <sheet name="Sheet3" sheetId="5" r:id="rId2"/>
    <sheet name="Sheet5" sheetId="7" r:id="rId3"/>
    <sheet name="DASHBOARD" sheetId="4" r:id="rId4"/>
  </sheets>
  <definedNames>
    <definedName name="_xlcn.WorksheetConnection_supply_chain_data.csv.xlsxTable11" hidden="1">Table1[]</definedName>
    <definedName name="_xlcn.WorksheetConnection_supply_chain_data.csv.xlsxTable1LocationProfitMargin1" hidden="1">Table1[[Location]:[Profit Margin]]</definedName>
    <definedName name="Slicer_Location">#N/A</definedName>
    <definedName name="Slicer_Product_type">#N/A</definedName>
    <definedName name="Slicer_Supplier_name">#N/A</definedName>
    <definedName name="Slicer_Transportation_modes">#N/A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s>
  <extLst>
    <ext xmlns:x14="http://schemas.microsoft.com/office/spreadsheetml/2009/9/main" uri="{876F7934-8845-4945-9796-88D515C7AA90}">
      <x14:pivotCaches>
        <pivotCache cacheId="8" r:id="rId13"/>
      </x14:pivotCaches>
    </ex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Location   Profit Margin" name="Table1  Location   Profit Margin" connection="WorksheetConnection_supply_chain_data.csv.xlsx!Table1[[Location]:[Profit Margin]]"/>
          <x15:modelTable id="Table1" name="Table1" connection="WorksheetConnection_supply_chain_data.csv.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2" i="1" l="1"/>
  <c r="Z2" i="1" s="1"/>
  <c r="Y101" i="1"/>
  <c r="Z101" i="1" s="1"/>
  <c r="Y100" i="1"/>
  <c r="Z100" i="1" s="1"/>
  <c r="Y99" i="1"/>
  <c r="Z99" i="1" s="1"/>
  <c r="Y98" i="1"/>
  <c r="Z98" i="1" s="1"/>
  <c r="Y97" i="1"/>
  <c r="Z97" i="1" s="1"/>
  <c r="Y96" i="1"/>
  <c r="Z96" i="1" s="1"/>
  <c r="Y95" i="1"/>
  <c r="Z95" i="1" s="1"/>
  <c r="Y94" i="1"/>
  <c r="Z94" i="1" s="1"/>
  <c r="Y93" i="1"/>
  <c r="Z93" i="1" s="1"/>
  <c r="Y92" i="1"/>
  <c r="Z92" i="1" s="1"/>
  <c r="Y91" i="1"/>
  <c r="Z91" i="1" s="1"/>
  <c r="Y90" i="1"/>
  <c r="Z90" i="1" s="1"/>
  <c r="Y89" i="1"/>
  <c r="Z89" i="1" s="1"/>
  <c r="Y88" i="1"/>
  <c r="Z88" i="1" s="1"/>
  <c r="Y87" i="1"/>
  <c r="Z87" i="1" s="1"/>
  <c r="Y86" i="1"/>
  <c r="Z86" i="1" s="1"/>
  <c r="Y85" i="1"/>
  <c r="Z85" i="1" s="1"/>
  <c r="Y84" i="1"/>
  <c r="Z84" i="1" s="1"/>
  <c r="Y83" i="1"/>
  <c r="Z83" i="1" s="1"/>
  <c r="Y82" i="1"/>
  <c r="Z82" i="1" s="1"/>
  <c r="Y81" i="1"/>
  <c r="Z81" i="1" s="1"/>
  <c r="Y80" i="1"/>
  <c r="Z80" i="1" s="1"/>
  <c r="Y79" i="1"/>
  <c r="Z79" i="1" s="1"/>
  <c r="Y78" i="1"/>
  <c r="Z78" i="1" s="1"/>
  <c r="Y77" i="1"/>
  <c r="Z77" i="1" s="1"/>
  <c r="Y76" i="1"/>
  <c r="Z76" i="1" s="1"/>
  <c r="Y75" i="1"/>
  <c r="Z75" i="1" s="1"/>
  <c r="Y74" i="1"/>
  <c r="Z74" i="1" s="1"/>
  <c r="Y73" i="1"/>
  <c r="Z73" i="1" s="1"/>
  <c r="Y72" i="1"/>
  <c r="Z72" i="1" s="1"/>
  <c r="Y71" i="1"/>
  <c r="Z71" i="1" s="1"/>
  <c r="Y70" i="1"/>
  <c r="Z70" i="1" s="1"/>
  <c r="Y69" i="1"/>
  <c r="Z69" i="1" s="1"/>
  <c r="Y68" i="1"/>
  <c r="Z68" i="1" s="1"/>
  <c r="Y67" i="1"/>
  <c r="Z67" i="1" s="1"/>
  <c r="Y66" i="1"/>
  <c r="Z66" i="1" s="1"/>
  <c r="Y65" i="1"/>
  <c r="Z65" i="1" s="1"/>
  <c r="Y64" i="1"/>
  <c r="Z64" i="1" s="1"/>
  <c r="Y63" i="1"/>
  <c r="Z63" i="1" s="1"/>
  <c r="Y62" i="1"/>
  <c r="Z62" i="1" s="1"/>
  <c r="Y61" i="1"/>
  <c r="Z61" i="1" s="1"/>
  <c r="Y60" i="1"/>
  <c r="Z60" i="1" s="1"/>
  <c r="Y59" i="1"/>
  <c r="Z59" i="1" s="1"/>
  <c r="Y58" i="1"/>
  <c r="Z58" i="1" s="1"/>
  <c r="Y57" i="1"/>
  <c r="Z57" i="1" s="1"/>
  <c r="Y56" i="1"/>
  <c r="Z56" i="1" s="1"/>
  <c r="Y55" i="1"/>
  <c r="Z55" i="1" s="1"/>
  <c r="Y54" i="1"/>
  <c r="Z54" i="1" s="1"/>
  <c r="Y53" i="1"/>
  <c r="Z53" i="1" s="1"/>
  <c r="Y52" i="1"/>
  <c r="Z52" i="1" s="1"/>
  <c r="Y51" i="1"/>
  <c r="Z51" i="1" s="1"/>
  <c r="Y50" i="1"/>
  <c r="Z50" i="1" s="1"/>
  <c r="Y49" i="1"/>
  <c r="Z49" i="1" s="1"/>
  <c r="Y48" i="1"/>
  <c r="Z48" i="1" s="1"/>
  <c r="Y47" i="1"/>
  <c r="Z47" i="1" s="1"/>
  <c r="Y46" i="1"/>
  <c r="Z46" i="1" s="1"/>
  <c r="Y45" i="1"/>
  <c r="Z45" i="1" s="1"/>
  <c r="Y44" i="1"/>
  <c r="Z44" i="1" s="1"/>
  <c r="Y43" i="1"/>
  <c r="Z43" i="1" s="1"/>
  <c r="Y42" i="1"/>
  <c r="Z42" i="1" s="1"/>
  <c r="Y41" i="1"/>
  <c r="Z41" i="1" s="1"/>
  <c r="Y40" i="1"/>
  <c r="Z40" i="1" s="1"/>
  <c r="Y39" i="1"/>
  <c r="Z39" i="1" s="1"/>
  <c r="Y38" i="1"/>
  <c r="Z38" i="1" s="1"/>
  <c r="Y37" i="1"/>
  <c r="Z37" i="1" s="1"/>
  <c r="Y36" i="1"/>
  <c r="Z36" i="1" s="1"/>
  <c r="Y35" i="1"/>
  <c r="Z35" i="1" s="1"/>
  <c r="Y34" i="1"/>
  <c r="Z34" i="1" s="1"/>
  <c r="Y33" i="1"/>
  <c r="Z33" i="1" s="1"/>
  <c r="Y32" i="1"/>
  <c r="Z32" i="1" s="1"/>
  <c r="Y31" i="1"/>
  <c r="Z31" i="1" s="1"/>
  <c r="Y30" i="1"/>
  <c r="Z30" i="1" s="1"/>
  <c r="Y29" i="1"/>
  <c r="Z29" i="1" s="1"/>
  <c r="Y28" i="1"/>
  <c r="Z28" i="1" s="1"/>
  <c r="Y27" i="1"/>
  <c r="Z27" i="1" s="1"/>
  <c r="Y26" i="1"/>
  <c r="Z26" i="1" s="1"/>
  <c r="Y25" i="1"/>
  <c r="Z25" i="1" s="1"/>
  <c r="Y24" i="1"/>
  <c r="Z24" i="1" s="1"/>
  <c r="Y23" i="1"/>
  <c r="Z23" i="1" s="1"/>
  <c r="Y22" i="1"/>
  <c r="Z22" i="1" s="1"/>
  <c r="Y21" i="1"/>
  <c r="Z21" i="1" s="1"/>
  <c r="Y20" i="1"/>
  <c r="Z20" i="1" s="1"/>
  <c r="Y19" i="1"/>
  <c r="Z19" i="1" s="1"/>
  <c r="Y18" i="1"/>
  <c r="Z18" i="1" s="1"/>
  <c r="Y17" i="1"/>
  <c r="Z17" i="1" s="1"/>
  <c r="Y16" i="1"/>
  <c r="Z16" i="1" s="1"/>
  <c r="Y15" i="1"/>
  <c r="Z15" i="1" s="1"/>
  <c r="Y14" i="1"/>
  <c r="Z14" i="1" s="1"/>
  <c r="Y13" i="1"/>
  <c r="Z13" i="1" s="1"/>
  <c r="Y12" i="1"/>
  <c r="Z12" i="1" s="1"/>
  <c r="Y11" i="1"/>
  <c r="Z11" i="1" s="1"/>
  <c r="Y10" i="1"/>
  <c r="Z10" i="1" s="1"/>
  <c r="Y9" i="1"/>
  <c r="Z9" i="1" s="1"/>
  <c r="Y8" i="1"/>
  <c r="Z8" i="1" s="1"/>
  <c r="Y7" i="1"/>
  <c r="Z7" i="1" s="1"/>
  <c r="Y6" i="1"/>
  <c r="Z6" i="1" s="1"/>
  <c r="Y5" i="1"/>
  <c r="Z5" i="1" s="1"/>
  <c r="Y4" i="1"/>
  <c r="Z4" i="1" s="1"/>
  <c r="Y3" i="1"/>
  <c r="Z3" i="1" s="1"/>
  <c r="N4" i="4"/>
  <c r="L4" i="4"/>
  <c r="J4" i="4"/>
  <c r="H4" i="4"/>
  <c r="F4" i="4"/>
  <c r="D4"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E21CDF5-35B0-414E-859E-A092274CBAF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3369328-AE70-4CBF-92B5-A84004BDEA71}" name="WorksheetConnection_supply_chain_data.csv.xlsx!Table1" type="102" refreshedVersion="8" minRefreshableVersion="5">
    <extLst>
      <ext xmlns:x15="http://schemas.microsoft.com/office/spreadsheetml/2010/11/main" uri="{DE250136-89BD-433C-8126-D09CA5730AF9}">
        <x15:connection id="Table1">
          <x15:rangePr sourceName="_xlcn.WorksheetConnection_supply_chain_data.csv.xlsxTable11"/>
        </x15:connection>
      </ext>
    </extLst>
  </connection>
  <connection id="3" xr16:uid="{AC051942-546B-4899-B9F8-FEDADFC0B975}" name="WorksheetConnection_supply_chain_data.csv.xlsx!Table1[[Location]:[Profit Margin]]" type="102" refreshedVersion="8" minRefreshableVersion="5">
    <extLst>
      <ext xmlns:x15="http://schemas.microsoft.com/office/spreadsheetml/2010/11/main" uri="{DE250136-89BD-433C-8126-D09CA5730AF9}">
        <x15:connection id="Table1  Location   Profit Margin" autoDelete="1">
          <x15:rangePr sourceName="_xlcn.WorksheetConnection_supply_chain_data.csv.xlsxTable1LocationProfitMargin1"/>
        </x15:connection>
      </ext>
    </extLst>
  </connection>
</connections>
</file>

<file path=xl/sharedStrings.xml><?xml version="1.0" encoding="utf-8"?>
<sst xmlns="http://schemas.openxmlformats.org/spreadsheetml/2006/main" count="974" uniqueCount="174">
  <si>
    <t>Product type</t>
  </si>
  <si>
    <t>SKU</t>
  </si>
  <si>
    <t>Price</t>
  </si>
  <si>
    <t>Availability</t>
  </si>
  <si>
    <t>Number of products sold</t>
  </si>
  <si>
    <t>Revenue generated</t>
  </si>
  <si>
    <t>Customer demographics</t>
  </si>
  <si>
    <t>Stock levels</t>
  </si>
  <si>
    <t>Lead times</t>
  </si>
  <si>
    <t>Order quantities</t>
  </si>
  <si>
    <t>Shipping times</t>
  </si>
  <si>
    <t>Shipping carriers</t>
  </si>
  <si>
    <t>Shipping costs</t>
  </si>
  <si>
    <t>Supplier name</t>
  </si>
  <si>
    <t>Location</t>
  </si>
  <si>
    <t>Lead time</t>
  </si>
  <si>
    <t>Production volumes</t>
  </si>
  <si>
    <t>Manufacturing lead time</t>
  </si>
  <si>
    <t>Manufacturing costs</t>
  </si>
  <si>
    <t>Inspection results</t>
  </si>
  <si>
    <t>Defect rates</t>
  </si>
  <si>
    <t>Transportation modes</t>
  </si>
  <si>
    <t>Routes</t>
  </si>
  <si>
    <t>Costs</t>
  </si>
  <si>
    <t>haircare</t>
  </si>
  <si>
    <t>SKU0</t>
  </si>
  <si>
    <t>Non-binary</t>
  </si>
  <si>
    <t>Carrier B</t>
  </si>
  <si>
    <t>Supplier 3</t>
  </si>
  <si>
    <t>Mumbai</t>
  </si>
  <si>
    <t>Pending</t>
  </si>
  <si>
    <t>Road</t>
  </si>
  <si>
    <t>Route B</t>
  </si>
  <si>
    <t>skincare</t>
  </si>
  <si>
    <t>SKU1</t>
  </si>
  <si>
    <t>Female</t>
  </si>
  <si>
    <t>Carrier A</t>
  </si>
  <si>
    <t>SKU2</t>
  </si>
  <si>
    <t>Unknown</t>
  </si>
  <si>
    <t>Supplier 1</t>
  </si>
  <si>
    <t>Air</t>
  </si>
  <si>
    <t>Route C</t>
  </si>
  <si>
    <t>SKU3</t>
  </si>
  <si>
    <t>Carrier C</t>
  </si>
  <si>
    <t>Supplier 5</t>
  </si>
  <si>
    <t>Kolkata</t>
  </si>
  <si>
    <t>Fail</t>
  </si>
  <si>
    <t>Rail</t>
  </si>
  <si>
    <t>Route A</t>
  </si>
  <si>
    <t>SKU4</t>
  </si>
  <si>
    <t>Delhi</t>
  </si>
  <si>
    <t>SKU5</t>
  </si>
  <si>
    <t>Supplier 4</t>
  </si>
  <si>
    <t>Bangalore</t>
  </si>
  <si>
    <t>SKU6</t>
  </si>
  <si>
    <t>Male</t>
  </si>
  <si>
    <t>Sea</t>
  </si>
  <si>
    <t>cosmetics</t>
  </si>
  <si>
    <t>SKU7</t>
  </si>
  <si>
    <t>SKU8</t>
  </si>
  <si>
    <t>SKU9</t>
  </si>
  <si>
    <t>Supplier 2</t>
  </si>
  <si>
    <t>Chennai</t>
  </si>
  <si>
    <t>SKU10</t>
  </si>
  <si>
    <t>Pass</t>
  </si>
  <si>
    <t>SKU11</t>
  </si>
  <si>
    <t>SKU12</t>
  </si>
  <si>
    <t>SKU13</t>
  </si>
  <si>
    <t>SKU14</t>
  </si>
  <si>
    <t>SKU15</t>
  </si>
  <si>
    <t>SKU16</t>
  </si>
  <si>
    <t>SKU17</t>
  </si>
  <si>
    <t>SKU18</t>
  </si>
  <si>
    <t>SKU19</t>
  </si>
  <si>
    <t>SKU20</t>
  </si>
  <si>
    <t>SKU21</t>
  </si>
  <si>
    <t>SKU22</t>
  </si>
  <si>
    <t>SKU23</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</si>
  <si>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</si>
  <si>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</si>
  <si>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</si>
  <si>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</si>
  <si>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</si>
  <si>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</si>
  <si>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</si>
  <si>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</si>
  <si>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</si>
  <si>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</si>
  <si>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</si>
  <si>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</si>
  <si>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</si>
  <si>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</si>
  <si>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</si>
  <si>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</si>
  <si>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</si>
  <si>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</si>
  <si>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</si>
  <si>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</si>
  <si>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</si>
  <si>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</si>
  <si>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</si>
  <si>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</si>
  <si>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</si>
  <si>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</si>
  <si>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</si>
  <si>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</si>
  <si>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</si>
  <si>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</si>
  <si>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</si>
  <si>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</si>
  <si>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</si>
  <si>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</si>
  <si>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</si>
  <si>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</si>
  <si>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</si>
  <si>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</si>
  <si>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</si>
  <si>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</si>
  <si>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</si>
  <si>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</si>
  <si>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</si>
  <si>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</si>
  <si>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</si>
  <si>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</si>
  <si>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</si>
  <si>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</si>
  <si>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</si>
  <si>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</si>
  <si>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</si>
  <si>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</si>
  <si>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</si>
  <si>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</si>
  <si>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</si>
  <si>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</si>
  <si>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</si>
  <si>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</si>
  <si>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</si>
  <si>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</si>
  <si>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</si>
  <si>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</si>
  <si>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</si>
  <si>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</si>
  <si>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</si>
  <si>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</si>
  <si>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SKU90</t>
  </si>
  <si>
    <t>SKU91</t>
  </si>
  <si>
    <t>SKU92</t>
  </si>
  <si>
    <t>SKU93</t>
  </si>
  <si>
    <t>SKU94</t>
  </si>
  <si>
    <t>SKU95</t>
  </si>
  <si>
    <t>SKU96</t>
  </si>
  <si>
    <t>SKU97</t>
  </si>
  <si>
    <t>SKU98</t>
  </si>
  <si>
    <t>SKU99</t>
  </si>
  <si>
    <t>Profit</t>
  </si>
  <si>
    <t>Profit Margin</t>
  </si>
  <si>
    <t>Product Sold</t>
  </si>
  <si>
    <t>Lead Time</t>
  </si>
  <si>
    <t xml:space="preserve">Revenue  </t>
  </si>
  <si>
    <t>Row Labels</t>
  </si>
  <si>
    <t>Grand Total</t>
  </si>
  <si>
    <t>Sum of Revenue generated</t>
  </si>
  <si>
    <t>Sum of Defect rates</t>
  </si>
  <si>
    <t>Average of Defect rates</t>
  </si>
  <si>
    <t>Sum of Shipping costs</t>
  </si>
  <si>
    <t>Average of Shipping costs</t>
  </si>
  <si>
    <t>Count of Inspection results</t>
  </si>
  <si>
    <t>Shipping Cost</t>
  </si>
  <si>
    <t>Defects Rate</t>
  </si>
  <si>
    <t>Total Profit</t>
  </si>
  <si>
    <t>Sum of Lead times</t>
  </si>
  <si>
    <t>Sum of Number of products sold</t>
  </si>
  <si>
    <t>Sum of Profit</t>
  </si>
  <si>
    <t>Supply Chain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</si>
</sst>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rial Rounded MT Bold"/>
      <family val="2"/>
    </font>
    <font>
      <sz val="24"/>
      <color theme="1"/>
      <name val="Britannic Bold"/>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34998626667073579"/>
        <bgColor indexed="64"/>
      </patternFill>
    </fill>
    <fill>
      <patternFill patternType="solid">
        <fgColor theme="4" tint="0.59999389629810485"/>
        <bgColor indexed="64"/>
      </patternFill>
    </fill>
    <fill>
      <patternFill patternType="solid">
        <fgColor theme="9" tint="0.39997558519241921"/>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0">
    <xf numFmtId="0" fontId="0" fillId="0" borderId="0" xfId="0"/>
    <xf numFmtId="2" fontId="0" fillId="0" borderId="0" xfId="0" applyNumberFormat="1"/>
    <xf numFmtId="164" fontId="0" fillId="0" borderId="0" xfId="0" applyNumberFormat="1"/>
    <xf numFmtId="49" fontId="0" fillId="0" borderId="0" xfId="0" applyNumberFormat="1"/>
    <xf numFmtId="10"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33" borderId="0" xfId="0" applyFill="1"/>
    <xf numFmtId="0" fontId="0" fillId="33" borderId="0" xfId="0" applyFill="1" applyAlignment="1">
      <alignment horizontal="center" vertical="center" wrapText="1"/>
    </xf>
    <xf numFmtId="0" fontId="0" fillId="35" borderId="0" xfId="0" applyFill="1"/>
    <xf numFmtId="0" fontId="19" fillId="34" borderId="10" xfId="0" applyFont="1" applyFill="1" applyBorder="1" applyAlignment="1">
      <alignment horizontal="center" vertical="center"/>
    </xf>
    <xf numFmtId="0" fontId="18" fillId="35" borderId="11" xfId="0" applyFont="1" applyFill="1" applyBorder="1" applyAlignment="1">
      <alignment horizontal="center" vertical="center" wrapText="1"/>
    </xf>
    <xf numFmtId="0" fontId="18" fillId="35" borderId="0" xfId="0" applyFont="1" applyFill="1" applyAlignment="1">
      <alignment horizontal="center" vertical="center" wrapText="1"/>
    </xf>
    <xf numFmtId="9" fontId="18" fillId="35" borderId="0" xfId="42" applyFont="1" applyFill="1" applyAlignment="1">
      <alignment horizontal="center"/>
    </xf>
    <xf numFmtId="2" fontId="18" fillId="35" borderId="0" xfId="0" applyNumberFormat="1" applyFont="1" applyFill="1" applyAlignment="1">
      <alignment horizontal="center"/>
    </xf>
    <xf numFmtId="1" fontId="18" fillId="35" borderId="11" xfId="0" applyNumberFormat="1" applyFont="1" applyFill="1" applyBorder="1" applyAlignment="1">
      <alignment horizontal="center" vertical="center"/>
    </xf>
    <xf numFmtId="1" fontId="18" fillId="35" borderId="0" xfId="0" applyNumberFormat="1" applyFont="1" applyFill="1" applyAlignment="1">
      <alignment horizontal="center" vertical="center"/>
    </xf>
    <xf numFmtId="1" fontId="18" fillId="35" borderId="0" xfId="0" applyNumberFormat="1" applyFont="1" applyFill="1" applyAlignment="1">
      <alignment horizontal="center"/>
    </xf>
    <xf numFmtId="0" fontId="18" fillId="35"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3">
    <dxf>
      <numFmt numFmtId="14" formatCode="0.00%"/>
    </dxf>
    <dxf>
      <numFmt numFmtId="164" formatCode="&quot;₹&quot;\ #,##0.00"/>
    </dxf>
    <dxf>
      <numFmt numFmtId="14" formatCode="0.00%"/>
    </dxf>
    <dxf>
      <numFmt numFmtId="0" formatCode="General"/>
    </dxf>
    <dxf>
      <numFmt numFmtId="164" formatCode="&quot;₹&quot;\ #,##0.00"/>
    </dxf>
    <dxf>
      <numFmt numFmtId="30" formatCode="@"/>
    </dxf>
    <dxf>
      <numFmt numFmtId="2" formatCode="0.00"/>
    </dxf>
    <dxf>
      <numFmt numFmtId="1" formatCode="0"/>
    </dxf>
    <dxf>
      <numFmt numFmtId="2" formatCode="0.00"/>
    </dxf>
    <dxf>
      <numFmt numFmtId="2" formatCode="0.00"/>
    </dxf>
    <dxf>
      <numFmt numFmtId="164" formatCode="&quot;₹&quot;\ #,##0.00"/>
    </dxf>
    <dxf>
      <numFmt numFmtId="30" formatCode="@"/>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microsoft.com/office/2007/relationships/slicerCache" Target="slicerCaches/slicerCache2.xml"/><Relationship Id="rId23" Type="http://schemas.openxmlformats.org/officeDocument/2006/relationships/calcChain" Target="calcChain.xml"/><Relationship Id="rId10" Type="http://schemas.openxmlformats.org/officeDocument/2006/relationships/pivotCacheDefinition" Target="pivotCache/pivotCacheDefinition6.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1.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[Supply_Chain_Dashboard.xlsx]Sheet3!PivotTable1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Product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6"/>
            </a:solidFill>
            <a:ln>
              <a:noFill/>
            </a:ln>
            <a:effectLst/>
          </c:spPr>
          <c:invertIfNegative val="0"/>
          <c:cat>
            <c:strRef>
              <c:f>Sheet3!$A$4:$A$7</c:f>
              <c:strCache>
                <c:ptCount val="3"/>
                <c:pt idx="0">
                  <c:v>cosmetics</c:v>
                </c:pt>
                <c:pt idx="1">
                  <c:v>haircare</c:v>
                </c:pt>
                <c:pt idx="2">
                  <c:v>skincare</c:v>
                </c:pt>
              </c:strCache>
            </c:strRef>
          </c:cat>
          <c:val>
            <c:numRef>
              <c:f>Sheet3!$B$4:$B$7</c:f>
              <c:numCache>
                <c:formatCode>General</c:formatCode>
                <c:ptCount val="3"/>
                <c:pt idx="0">
                  <c:v>161521.26599948306</c:v>
                </c:pt>
                <c:pt idx="1">
                  <c:v>174455.39060546222</c:v>
                </c:pt>
                <c:pt idx="2">
                  <c:v>241628.16213306302</c:v>
                </c:pt>
              </c:numCache>
            </c:numRef>
          </c:val>
          <c:extLst>
            <c:ext xmlns:c16="http://schemas.microsoft.com/office/drawing/2014/chart" uri="{C3380CC4-5D6E-409C-BE32-E72D297353CC}">
              <c16:uniqueId val="{00000000-780D-4200-B30C-24545138611D}"/>
            </c:ext>
          </c:extLst>
        </c:ser>
        <c:dLbls>
          <c:showLegendKey val="0"/>
          <c:showVal val="0"/>
          <c:showCatName val="0"/>
          <c:showSerName val="0"/>
          <c:showPercent val="0"/>
          <c:showBubbleSize val="0"/>
        </c:dLbls>
        <c:gapWidth val="182"/>
        <c:axId val="1398527823"/>
        <c:axId val="1398529263"/>
      </c:barChart>
      <c:catAx>
        <c:axId val="1398527823"/>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529263"/>
        <c:crosses val="autoZero"/>
        <c:auto val="1"/>
        <c:lblAlgn val="ctr"/>
        <c:lblOffset val="100"/>
        <c:noMultiLvlLbl val="0"/>
      </c:catAx>
      <c:valAx>
        <c:axId val="139852926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527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[Supply_Chain_Dashboard.xlsx]Sheet3!PivotTable4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Shipping Cost by Transportation Mode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16014166351476805"/>
          <c:y val="0.3357856725792645"/>
          <c:w val="0.3181271788510025"/>
          <c:h val="0.53156899720258921"/>
        </c:manualLayout>
      </c:layout>
      <c:doughnutChart>
        <c:varyColors val="1"/>
        <c:ser>
          <c:idx val="0"/>
          <c:order val="0"/>
          <c:tx>
            <c:strRef>
              <c:f>Sheet3!$B$16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D2D5-4D8E-8AEB-391D4EE93F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BED-4A18-B9FA-2A630BEA9D4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BED-4A18-B9FA-2A630BEA9D4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BED-4A18-B9FA-2A630BEA9D4E}"/>
              </c:ext>
            </c:extLst>
          </c:dPt>
          <c:cat>
            <c:strRef>
              <c:f>Sheet3!$A$17:$A$21</c:f>
              <c:strCache>
                <c:ptCount val="4"/>
                <c:pt idx="0">
                  <c:v>Air</c:v>
                </c:pt>
                <c:pt idx="1">
                  <c:v>Rail</c:v>
                </c:pt>
                <c:pt idx="2">
                  <c:v>Road</c:v>
                </c:pt>
                <c:pt idx="3">
                  <c:v>Sea</c:v>
                </c:pt>
              </c:strCache>
            </c:strRef>
          </c:cat>
          <c:val>
            <c:numRef>
              <c:f>Sheet3!$B$17:$B$21</c:f>
              <c:numCache>
                <c:formatCode>"₹"\ #,##0.00</c:formatCode>
                <c:ptCount val="4"/>
                <c:pt idx="0">
                  <c:v>6.0178393777286159</c:v>
                </c:pt>
                <c:pt idx="1">
                  <c:v>5.4690979361028562</c:v>
                </c:pt>
                <c:pt idx="2">
                  <c:v>5.542115390045792</c:v>
                </c:pt>
                <c:pt idx="3">
                  <c:v>4.9702938152238989</c:v>
                </c:pt>
              </c:numCache>
            </c:numRef>
          </c:val>
          <c:extLst>
            <c:ext xmlns:c16="http://schemas.microsoft.com/office/drawing/2014/chart" uri="{C3380CC4-5D6E-409C-BE32-E72D297353CC}">
              <c16:uniqueId val="{00000000-D2D5-4D8E-8AEB-391D4EE93F6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55717773269607673"/>
          <c:y val="0.38704761904761903"/>
          <c:w val="0.27257240204429301"/>
          <c:h val="0.469077623396427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[Supply_Chain_Dashboard.xlsx]Sheet3!PivotTable5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Location-wise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Sheet3!$B$32</c:f>
              <c:strCache>
                <c:ptCount val="1"/>
                <c:pt idx="0">
                  <c:v>Total</c:v>
                </c:pt>
              </c:strCache>
            </c:strRef>
          </c:tx>
          <c:spPr>
            <a:solidFill>
              <a:schemeClr val="accent1"/>
            </a:solidFill>
            <a:ln>
              <a:noFill/>
            </a:ln>
            <a:effectLst/>
          </c:spPr>
          <c:invertIfNegative val="0"/>
          <c:cat>
            <c:strRef>
              <c:f>Sheet3!$A$33:$A$38</c:f>
              <c:strCache>
                <c:ptCount val="5"/>
                <c:pt idx="0">
                  <c:v>Chennai</c:v>
                </c:pt>
                <c:pt idx="1">
                  <c:v>Bangalore</c:v>
                </c:pt>
                <c:pt idx="2">
                  <c:v>Delhi</c:v>
                </c:pt>
                <c:pt idx="3">
                  <c:v>Kolkata</c:v>
                </c:pt>
                <c:pt idx="4">
                  <c:v>Mumbai</c:v>
                </c:pt>
              </c:strCache>
            </c:strRef>
          </c:cat>
          <c:val>
            <c:numRef>
              <c:f>Sheet3!$B$33:$B$38</c:f>
              <c:numCache>
                <c:formatCode>General</c:formatCode>
                <c:ptCount val="5"/>
                <c:pt idx="0">
                  <c:v>119142.8157480693</c:v>
                </c:pt>
                <c:pt idx="1">
                  <c:v>102601.72388223567</c:v>
                </c:pt>
                <c:pt idx="2">
                  <c:v>81027.701224852935</c:v>
                </c:pt>
                <c:pt idx="3">
                  <c:v>137077.55100538101</c:v>
                </c:pt>
                <c:pt idx="4">
                  <c:v>137755.02687746932</c:v>
                </c:pt>
              </c:numCache>
            </c:numRef>
          </c:val>
          <c:extLst>
            <c:ext xmlns:c16="http://schemas.microsoft.com/office/drawing/2014/chart" uri="{C3380CC4-5D6E-409C-BE32-E72D297353CC}">
              <c16:uniqueId val="{00000000-6D56-4F77-BED8-FC460766753D}"/>
            </c:ext>
          </c:extLst>
        </c:ser>
        <c:dLbls>
          <c:showLegendKey val="0"/>
          <c:showVal val="0"/>
          <c:showCatName val="0"/>
          <c:showSerName val="0"/>
          <c:showPercent val="0"/>
          <c:showBubbleSize val="0"/>
        </c:dLbls>
        <c:gapWidth val="219"/>
        <c:overlap val="-27"/>
        <c:axId val="2042700127"/>
        <c:axId val="2042697247"/>
      </c:barChart>
      <c:catAx>
        <c:axId val="20427001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Location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697247"/>
        <c:crosses val="autoZero"/>
        <c:auto val="1"/>
        <c:lblAlgn val="ctr"/>
        <c:lblOffset val="100"/>
        <c:noMultiLvlLbl val="0"/>
      </c:catAx>
      <c:valAx>
        <c:axId val="2042697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700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[Supply_Chain_Dashboard.xlsx]Sheet3!PivotTable6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Inspection Results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Sheet3!$C$46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D95-4C29-A664-365619C010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D95-4C29-A664-365619C010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D95-4C29-A664-365619C0109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Sheet3!$B$47:$B$50</c:f>
              <c:strCache>
                <c:ptCount val="3"/>
                <c:pt idx="0">
                  <c:v>Fail</c:v>
                </c:pt>
                <c:pt idx="1">
                  <c:v>Pass</c:v>
                </c:pt>
                <c:pt idx="2">
                  <c:v>Pending</c:v>
                </c:pt>
              </c:strCache>
            </c:strRef>
          </c:cat>
          <c:val>
            <c:numRef>
              <c:f>Sheet3!$C$47:$C$50</c:f>
              <c:numCache>
                <c:formatCode>General</c:formatCode>
                <c:ptCount val="3"/>
                <c:pt idx="0">
                  <c:v>100</c:v>
                </c:pt>
                <c:pt idx="1">
                  <c:v>100</c:v>
                </c:pt>
                <c:pt idx="2">
                  <c:v>100</c:v>
                </c:pt>
              </c:numCache>
            </c:numRef>
          </c:val>
          <c:extLst>
            <c:ext xmlns:c16="http://schemas.microsoft.com/office/drawing/2014/chart" uri="{C3380CC4-5D6E-409C-BE32-E72D297353CC}">
              <c16:uniqueId val="{00000000-CFA9-441D-8A44-2D1CEABBB193}"/>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[Supply_Chain_Dashboard.xlsx]Sheet5!PivotTable3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Supplier Performance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6"/>
            </a:solidFill>
            <a:ln>
              <a:noFill/>
            </a:ln>
            <a:effectLst/>
          </c:spPr>
          <c:invertIfNegative val="0"/>
          <c:cat>
            <c:strRef>
              <c:f>Sheet5!$A$4:$A$9</c:f>
              <c:strCache>
                <c:ptCount val="5"/>
                <c:pt idx="0">
                  <c:v>Supplier 1</c:v>
                </c:pt>
                <c:pt idx="1">
                  <c:v>Supplier 2</c:v>
                </c:pt>
                <c:pt idx="2">
                  <c:v>Supplier 3</c:v>
                </c:pt>
                <c:pt idx="3">
                  <c:v>Supplier 4</c:v>
                </c:pt>
                <c:pt idx="4">
                  <c:v>Supplier 5</c:v>
                </c:pt>
              </c:strCache>
            </c:strRef>
          </c:cat>
          <c:val>
            <c:numRef>
              <c:f>Sheet5!$B$4:$B$9</c:f>
              <c:numCache>
                <c:formatCode>General</c:formatCode>
                <c:ptCount val="5"/>
                <c:pt idx="0">
                  <c:v>1.8036297116882485</c:v>
                </c:pt>
                <c:pt idx="1">
                  <c:v>2.3627501450718764</c:v>
                </c:pt>
                <c:pt idx="2">
                  <c:v>2.4657860307644657</c:v>
                </c:pt>
                <c:pt idx="3">
                  <c:v>2.3373974005913354</c:v>
                </c:pt>
                <c:pt idx="4">
                  <c:v>2.6654083441491982</c:v>
                </c:pt>
              </c:numCache>
            </c:numRef>
          </c:val>
          <c:extLst>
            <c:ext xmlns:c16="http://schemas.microsoft.com/office/drawing/2014/chart" uri="{C3380CC4-5D6E-409C-BE32-E72D297353CC}">
              <c16:uniqueId val="{00000000-54DE-4A00-A158-A8152D08D94D}"/>
            </c:ext>
          </c:extLst>
        </c:ser>
        <c:dLbls>
          <c:showLegendKey val="0"/>
          <c:showVal val="0"/>
          <c:showCatName val="0"/>
          <c:showSerName val="0"/>
          <c:showPercent val="0"/>
          <c:showBubbleSize val="0"/>
        </c:dLbls>
        <c:gapWidth val="219"/>
        <c:overlap val="-27"/>
        <c:axId val="1396816655"/>
        <c:axId val="1396817135"/>
      </c:barChart>
      <c:catAx>
        <c:axId val="1396816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817135"/>
        <c:crosses val="autoZero"/>
        <c:auto val="1"/>
        <c:lblAlgn val="ctr"/>
        <c:lblOffset val="100"/>
        <c:noMultiLvlLbl val="0"/>
      </c:catAx>
      <c:valAx>
        <c:axId val="1396817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816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[Supply_Chain_Dashboard.xlsx]Sheet3!PivotTable1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Product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6"/>
            </a:solidFill>
            <a:ln>
              <a:noFill/>
            </a:ln>
            <a:effectLst/>
          </c:spPr>
          <c:invertIfNegative val="0"/>
          <c:cat>
            <c:strRef>
              <c:f>Sheet3!$A$4:$A$7</c:f>
              <c:strCache>
                <c:ptCount val="3"/>
                <c:pt idx="0">
                  <c:v>cosmetics</c:v>
                </c:pt>
                <c:pt idx="1">
                  <c:v>haircare</c:v>
                </c:pt>
                <c:pt idx="2">
                  <c:v>skincare</c:v>
                </c:pt>
              </c:strCache>
            </c:strRef>
          </c:cat>
          <c:val>
            <c:numRef>
              <c:f>Sheet3!$B$4:$B$7</c:f>
              <c:numCache>
                <c:formatCode>General</c:formatCode>
                <c:ptCount val="3"/>
                <c:pt idx="0">
                  <c:v>161521.26599948306</c:v>
                </c:pt>
                <c:pt idx="1">
                  <c:v>174455.39060546222</c:v>
                </c:pt>
                <c:pt idx="2">
                  <c:v>241628.16213306302</c:v>
                </c:pt>
              </c:numCache>
            </c:numRef>
          </c:val>
          <c:extLst>
            <c:ext xmlns:c16="http://schemas.microsoft.com/office/drawing/2014/chart" uri="{C3380CC4-5D6E-409C-BE32-E72D297353CC}">
              <c16:uniqueId val="{00000000-ADC2-4165-B2AA-6E7616D57C39}"/>
            </c:ext>
          </c:extLst>
        </c:ser>
        <c:dLbls>
          <c:showLegendKey val="0"/>
          <c:showVal val="0"/>
          <c:showCatName val="0"/>
          <c:showSerName val="0"/>
          <c:showPercent val="0"/>
          <c:showBubbleSize val="0"/>
        </c:dLbls>
        <c:gapWidth val="182"/>
        <c:axId val="1398527823"/>
        <c:axId val="1398529263"/>
      </c:barChart>
      <c:catAx>
        <c:axId val="1398527823"/>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529263"/>
        <c:crosses val="autoZero"/>
        <c:auto val="1"/>
        <c:lblAlgn val="ctr"/>
        <c:lblOffset val="100"/>
        <c:noMultiLvlLbl val="0"/>
      </c:catAx>
      <c:valAx>
        <c:axId val="139852926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527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[Supply_Chain_Dashboard.xlsx]Sheet5!PivotTable3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Supplier Performance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6"/>
            </a:solidFill>
            <a:ln>
              <a:noFill/>
            </a:ln>
            <a:effectLst/>
          </c:spPr>
          <c:invertIfNegative val="0"/>
          <c:cat>
            <c:strRef>
              <c:f>Sheet5!$A$4:$A$9</c:f>
              <c:strCache>
                <c:ptCount val="5"/>
                <c:pt idx="0">
                  <c:v>Supplier 1</c:v>
                </c:pt>
                <c:pt idx="1">
                  <c:v>Supplier 2</c:v>
                </c:pt>
                <c:pt idx="2">
                  <c:v>Supplier 3</c:v>
                </c:pt>
                <c:pt idx="3">
                  <c:v>Supplier 4</c:v>
                </c:pt>
                <c:pt idx="4">
                  <c:v>Supplier 5</c:v>
                </c:pt>
              </c:strCache>
            </c:strRef>
          </c:cat>
          <c:val>
            <c:numRef>
              <c:f>Sheet5!$B$4:$B$9</c:f>
              <c:numCache>
                <c:formatCode>General</c:formatCode>
                <c:ptCount val="5"/>
                <c:pt idx="0">
                  <c:v>1.8036297116882485</c:v>
                </c:pt>
                <c:pt idx="1">
                  <c:v>2.3627501450718764</c:v>
                </c:pt>
                <c:pt idx="2">
                  <c:v>2.4657860307644657</c:v>
                </c:pt>
                <c:pt idx="3">
                  <c:v>2.3373974005913354</c:v>
                </c:pt>
                <c:pt idx="4">
                  <c:v>2.6654083441491982</c:v>
                </c:pt>
              </c:numCache>
            </c:numRef>
          </c:val>
          <c:extLst>
            <c:ext xmlns:c16="http://schemas.microsoft.com/office/drawing/2014/chart" uri="{C3380CC4-5D6E-409C-BE32-E72D297353CC}">
              <c16:uniqueId val="{00000000-9CC6-4228-9698-87D37F9E67EB}"/>
            </c:ext>
          </c:extLst>
        </c:ser>
        <c:dLbls>
          <c:showLegendKey val="0"/>
          <c:showVal val="0"/>
          <c:showCatName val="0"/>
          <c:showSerName val="0"/>
          <c:showPercent val="0"/>
          <c:showBubbleSize val="0"/>
        </c:dLbls>
        <c:gapWidth val="219"/>
        <c:overlap val="-27"/>
        <c:axId val="1396816655"/>
        <c:axId val="1396817135"/>
      </c:barChart>
      <c:catAx>
        <c:axId val="1396816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817135"/>
        <c:crosses val="autoZero"/>
        <c:auto val="1"/>
        <c:lblAlgn val="ctr"/>
        <c:lblOffset val="100"/>
        <c:noMultiLvlLbl val="0"/>
      </c:catAx>
      <c:valAx>
        <c:axId val="1396817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816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[Supply_Chain_Dashboard.xlsx]Sheet3!PivotTable4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Shipping Cost by Transportation Mode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16014166351476805"/>
          <c:y val="0.3357856725792645"/>
          <c:w val="0.3181271788510025"/>
          <c:h val="0.53156899720258921"/>
        </c:manualLayout>
      </c:layout>
      <c:doughnutChart>
        <c:varyColors val="1"/>
        <c:ser>
          <c:idx val="0"/>
          <c:order val="0"/>
          <c:tx>
            <c:strRef>
              <c:f>Sheet3!$B$16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292-469E-BC07-37F72BEC37D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292-469E-BC07-37F72BEC37D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292-469E-BC07-37F72BEC37D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292-469E-BC07-37F72BEC37DD}"/>
              </c:ext>
            </c:extLst>
          </c:dPt>
          <c:cat>
            <c:strRef>
              <c:f>Sheet3!$A$17:$A$21</c:f>
              <c:strCache>
                <c:ptCount val="4"/>
                <c:pt idx="0">
                  <c:v>Air</c:v>
                </c:pt>
                <c:pt idx="1">
                  <c:v>Rail</c:v>
                </c:pt>
                <c:pt idx="2">
                  <c:v>Road</c:v>
                </c:pt>
                <c:pt idx="3">
                  <c:v>Sea</c:v>
                </c:pt>
              </c:strCache>
            </c:strRef>
          </c:cat>
          <c:val>
            <c:numRef>
              <c:f>Sheet3!$B$17:$B$21</c:f>
              <c:numCache>
                <c:formatCode>"₹"\ #,##0.00</c:formatCode>
                <c:ptCount val="4"/>
                <c:pt idx="0">
                  <c:v>6.0178393777286159</c:v>
                </c:pt>
                <c:pt idx="1">
                  <c:v>5.4690979361028562</c:v>
                </c:pt>
                <c:pt idx="2">
                  <c:v>5.542115390045792</c:v>
                </c:pt>
                <c:pt idx="3">
                  <c:v>4.9702938152238989</c:v>
                </c:pt>
              </c:numCache>
            </c:numRef>
          </c:val>
          <c:extLst>
            <c:ext xmlns:c16="http://schemas.microsoft.com/office/drawing/2014/chart" uri="{C3380CC4-5D6E-409C-BE32-E72D297353CC}">
              <c16:uniqueId val="{00000008-A292-469E-BC07-37F72BEC37D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55717773269607673"/>
          <c:y val="0.38704761904761903"/>
          <c:w val="0.27257240204429301"/>
          <c:h val="0.469077623396427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[Supply_Chain_Dashboard.xlsx]Sheet3!PivotTable5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Location-wise Revenue</a:t>
            </a:r>
            <a:endParaRPr lang="en-US"/>
          </a:p>
        </c:rich>
      </c:tx>
      <c:layout>
        <c:manualLayout>
          <c:xMode val="edge"/>
          <c:yMode val="edge"/>
          <c:x val="0.31299055450908514"/>
          <c:y val="0.1287051290650290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Sheet3!$B$32</c:f>
              <c:strCache>
                <c:ptCount val="1"/>
                <c:pt idx="0">
                  <c:v>Total</c:v>
                </c:pt>
              </c:strCache>
            </c:strRef>
          </c:tx>
          <c:spPr>
            <a:solidFill>
              <a:schemeClr val="accent1">
                <a:lumMod val="40000"/>
                <a:lumOff val="60000"/>
              </a:schemeClr>
            </a:solidFill>
            <a:ln>
              <a:noFill/>
            </a:ln>
            <a:effectLst/>
          </c:spPr>
          <c:invertIfNegative val="0"/>
          <c:cat>
            <c:strRef>
              <c:f>Sheet3!$A$33:$A$38</c:f>
              <c:strCache>
                <c:ptCount val="5"/>
                <c:pt idx="0">
                  <c:v>Chennai</c:v>
                </c:pt>
                <c:pt idx="1">
                  <c:v>Bangalore</c:v>
                </c:pt>
                <c:pt idx="2">
                  <c:v>Delhi</c:v>
                </c:pt>
                <c:pt idx="3">
                  <c:v>Kolkata</c:v>
                </c:pt>
                <c:pt idx="4">
                  <c:v>Mumbai</c:v>
                </c:pt>
              </c:strCache>
            </c:strRef>
          </c:cat>
          <c:val>
            <c:numRef>
              <c:f>Sheet3!$B$33:$B$38</c:f>
              <c:numCache>
                <c:formatCode>General</c:formatCode>
                <c:ptCount val="5"/>
                <c:pt idx="0">
                  <c:v>119142.8157480693</c:v>
                </c:pt>
                <c:pt idx="1">
                  <c:v>102601.72388223567</c:v>
                </c:pt>
                <c:pt idx="2">
                  <c:v>81027.701224852935</c:v>
                </c:pt>
                <c:pt idx="3">
                  <c:v>137077.55100538101</c:v>
                </c:pt>
                <c:pt idx="4">
                  <c:v>137755.02687746932</c:v>
                </c:pt>
              </c:numCache>
            </c:numRef>
          </c:val>
          <c:extLst>
            <c:ext xmlns:c16="http://schemas.microsoft.com/office/drawing/2014/chart" uri="{C3380CC4-5D6E-409C-BE32-E72D297353CC}">
              <c16:uniqueId val="{00000000-0333-4E81-BD3C-541D62CD5565}"/>
            </c:ext>
          </c:extLst>
        </c:ser>
        <c:dLbls>
          <c:showLegendKey val="0"/>
          <c:showVal val="0"/>
          <c:showCatName val="0"/>
          <c:showSerName val="0"/>
          <c:showPercent val="0"/>
          <c:showBubbleSize val="0"/>
        </c:dLbls>
        <c:gapWidth val="219"/>
        <c:overlap val="-27"/>
        <c:axId val="2042700127"/>
        <c:axId val="2042697247"/>
      </c:barChart>
      <c:catAx>
        <c:axId val="20427001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Location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697247"/>
        <c:crosses val="autoZero"/>
        <c:auto val="1"/>
        <c:lblAlgn val="ctr"/>
        <c:lblOffset val="100"/>
        <c:noMultiLvlLbl val="0"/>
      </c:catAx>
      <c:valAx>
        <c:axId val="2042697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700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[Supply_Chain_Dashboard.xlsx]Sheet3!PivotTable6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Inspection Results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Sheet3!$C$46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648-49F7-A26E-23220B3C9AD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648-49F7-A26E-23220B3C9AD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648-49F7-A26E-23220B3C9AD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Sheet3!$B$47:$B$50</c:f>
              <c:strCache>
                <c:ptCount val="3"/>
                <c:pt idx="0">
                  <c:v>Fail</c:v>
                </c:pt>
                <c:pt idx="1">
                  <c:v>Pass</c:v>
                </c:pt>
                <c:pt idx="2">
                  <c:v>Pending</c:v>
                </c:pt>
              </c:strCache>
            </c:strRef>
          </c:cat>
          <c:val>
            <c:numRef>
              <c:f>Sheet3!$C$47:$C$50</c:f>
              <c:numCache>
                <c:formatCode>General</c:formatCode>
                <c:ptCount val="3"/>
                <c:pt idx="0">
                  <c:v>100</c:v>
                </c:pt>
                <c:pt idx="1">
                  <c:v>100</c:v>
                </c:pt>
                <c:pt idx="2">
                  <c:v>100</c:v>
                </c:pt>
              </c:numCache>
            </c:numRef>
          </c:val>
          <c:extLst>
            <c:ext xmlns:c16="http://schemas.microsoft.com/office/drawing/2014/chart" uri="{C3380CC4-5D6E-409C-BE32-E72D297353CC}">
              <c16:uniqueId val="{00000006-8648-49F7-A26E-23220B3C9ADD}"/>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99060</xdr:colOff>
      <xdr:row>0</xdr:row>
      <xdr:rowOff>41910</xdr:rowOff>
    </xdr:from>
    <xdr:to>
      <xdr:col>8</xdr:col>
      <xdr:colOff>556260</xdr:colOff>
      <xdr:row>12</xdr:row>
      <xdr:rowOff>114300</xdr:rowOff>
    </xdr:to>
    <xdr:graphicFrame macro="">
      <xdr:nvGraphicFramePr>
        <xdr:cNvPr id="2" name="Chart 1">
          <a:extLst>
            <a:ext uri="{FF2B5EF4-FFF2-40B4-BE49-F238E27FC236}">
              <a16:creationId xmlns:a16="http://schemas.microsoft.com/office/drawing/2014/main" id="{0FC9C8A3-5726-5AD9-3E8D-FE0226BB0B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259080</xdr:colOff>
      <xdr:row>13</xdr:row>
      <xdr:rowOff>64770</xdr:rowOff>
    </xdr:from>
    <xdr:to>
      <xdr:col>8</xdr:col>
      <xdr:colOff>91440</xdr:colOff>
      <xdr:row>23</xdr:row>
      <xdr:rowOff>0</xdr:rowOff>
    </xdr:to>
    <xdr:graphicFrame macro="">
      <xdr:nvGraphicFramePr>
        <xdr:cNvPr id="3" name="Chart 2">
          <a:extLst>
            <a:ext uri="{FF2B5EF4-FFF2-40B4-BE49-F238E27FC236}">
              <a16:creationId xmlns:a16="http://schemas.microsoft.com/office/drawing/2014/main" id="{B3745279-B3CE-42AB-B464-1AA0841763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464820</xdr:colOff>
      <xdr:row>27</xdr:row>
      <xdr:rowOff>137160</xdr:rowOff>
    </xdr:from>
    <xdr:to>
      <xdr:col>9</xdr:col>
      <xdr:colOff>60960</xdr:colOff>
      <xdr:row>41</xdr:row>
      <xdr:rowOff>68580</xdr:rowOff>
    </xdr:to>
    <xdr:graphicFrame macro="">
      <xdr:nvGraphicFramePr>
        <xdr:cNvPr id="4" name="Chart 3">
          <a:extLst>
            <a:ext uri="{FF2B5EF4-FFF2-40B4-BE49-F238E27FC236}">
              <a16:creationId xmlns:a16="http://schemas.microsoft.com/office/drawing/2014/main" id="{73E496CE-F8A1-6AEA-AAFA-555A0BADAE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76200</xdr:colOff>
      <xdr:row>44</xdr:row>
      <xdr:rowOff>102870</xdr:rowOff>
    </xdr:from>
    <xdr:to>
      <xdr:col>9</xdr:col>
      <xdr:colOff>45720</xdr:colOff>
      <xdr:row>56</xdr:row>
      <xdr:rowOff>0</xdr:rowOff>
    </xdr:to>
    <xdr:graphicFrame macro="">
      <xdr:nvGraphicFramePr>
        <xdr:cNvPr id="5" name="Chart 4">
          <a:extLst>
            <a:ext uri="{FF2B5EF4-FFF2-40B4-BE49-F238E27FC236}">
              <a16:creationId xmlns:a16="http://schemas.microsoft.com/office/drawing/2014/main" id="{4329F432-05CA-775A-11AF-AAC7150F50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0</xdr:row>
      <xdr:rowOff>156210</xdr:rowOff>
    </xdr:from>
    <xdr:to>
      <xdr:col>9</xdr:col>
      <xdr:colOff>213360</xdr:colOff>
      <xdr:row>11</xdr:row>
      <xdr:rowOff>106680</xdr:rowOff>
    </xdr:to>
    <xdr:graphicFrame macro="">
      <xdr:nvGraphicFramePr>
        <xdr:cNvPr id="2" name="Chart 1">
          <a:extLst>
            <a:ext uri="{FF2B5EF4-FFF2-40B4-BE49-F238E27FC236}">
              <a16:creationId xmlns:a16="http://schemas.microsoft.com/office/drawing/2014/main" id="{AB763E2B-42A0-9C20-67FC-3B985B5C49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17</xdr:row>
      <xdr:rowOff>0</xdr:rowOff>
    </xdr:from>
    <xdr:to>
      <xdr:col>0</xdr:col>
      <xdr:colOff>1587038</xdr:colOff>
      <xdr:row>18</xdr:row>
      <xdr:rowOff>7620</xdr:rowOff>
    </xdr:to>
    <xdr:pic>
      <xdr:nvPicPr>
        <xdr:cNvPr id="7" name="Picture 6">
          <a:extLst>
            <a:ext uri="{FF2B5EF4-FFF2-40B4-BE49-F238E27FC236}">
              <a16:creationId xmlns:a16="http://schemas.microsoft.com/office/drawing/2014/main" id="{9858A328-9B3D-024C-2536-2D97674386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108960"/>
          <a:ext cx="158496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10367</xdr:colOff>
      <xdr:row>33</xdr:row>
      <xdr:rowOff>26893</xdr:rowOff>
    </xdr:from>
    <xdr:to>
      <xdr:col>15</xdr:col>
      <xdr:colOff>0</xdr:colOff>
      <xdr:row>44</xdr:row>
      <xdr:rowOff>89645</xdr:rowOff>
    </xdr:to>
    <xdr:graphicFrame macro="">
      <xdr:nvGraphicFramePr>
        <xdr:cNvPr id="3" name="Chart 2">
          <a:extLst>
            <a:ext uri="{FF2B5EF4-FFF2-40B4-BE49-F238E27FC236}">
              <a16:creationId xmlns:a16="http://schemas.microsoft.com/office/drawing/2014/main" id="{C846C668-0738-4FF6-B105-6CC5A0AC69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20170</xdr:colOff>
      <xdr:row>5</xdr:row>
      <xdr:rowOff>44824</xdr:rowOff>
    </xdr:from>
    <xdr:to>
      <xdr:col>15</xdr:col>
      <xdr:colOff>0</xdr:colOff>
      <xdr:row>18</xdr:row>
      <xdr:rowOff>144779</xdr:rowOff>
    </xdr:to>
    <xdr:graphicFrame macro="">
      <xdr:nvGraphicFramePr>
        <xdr:cNvPr id="19" name="Chart 18">
          <a:extLst>
            <a:ext uri="{FF2B5EF4-FFF2-40B4-BE49-F238E27FC236}">
              <a16:creationId xmlns:a16="http://schemas.microsoft.com/office/drawing/2014/main" id="{4BC8EFE8-51BA-4905-8004-856A1B6C32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5182</xdr:colOff>
      <xdr:row>19</xdr:row>
      <xdr:rowOff>22412</xdr:rowOff>
    </xdr:from>
    <xdr:to>
      <xdr:col>8</xdr:col>
      <xdr:colOff>1086969</xdr:colOff>
      <xdr:row>32</xdr:row>
      <xdr:rowOff>156883</xdr:rowOff>
    </xdr:to>
    <xdr:graphicFrame macro="">
      <xdr:nvGraphicFramePr>
        <xdr:cNvPr id="20" name="Chart 19">
          <a:extLst>
            <a:ext uri="{FF2B5EF4-FFF2-40B4-BE49-F238E27FC236}">
              <a16:creationId xmlns:a16="http://schemas.microsoft.com/office/drawing/2014/main" id="{FC5BFFFA-74A9-4CD9-B3B9-67CAB590DC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5183</xdr:colOff>
      <xdr:row>5</xdr:row>
      <xdr:rowOff>49754</xdr:rowOff>
    </xdr:from>
    <xdr:to>
      <xdr:col>9</xdr:col>
      <xdr:colOff>593911</xdr:colOff>
      <xdr:row>18</xdr:row>
      <xdr:rowOff>156882</xdr:rowOff>
    </xdr:to>
    <xdr:graphicFrame macro="">
      <xdr:nvGraphicFramePr>
        <xdr:cNvPr id="21" name="Chart 20">
          <a:extLst>
            <a:ext uri="{FF2B5EF4-FFF2-40B4-BE49-F238E27FC236}">
              <a16:creationId xmlns:a16="http://schemas.microsoft.com/office/drawing/2014/main" id="{3D6227FC-2DE9-485E-8F73-F000391977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1156447</xdr:colOff>
      <xdr:row>19</xdr:row>
      <xdr:rowOff>11205</xdr:rowOff>
    </xdr:from>
    <xdr:to>
      <xdr:col>15</xdr:col>
      <xdr:colOff>0</xdr:colOff>
      <xdr:row>32</xdr:row>
      <xdr:rowOff>156882</xdr:rowOff>
    </xdr:to>
    <xdr:graphicFrame macro="">
      <xdr:nvGraphicFramePr>
        <xdr:cNvPr id="26" name="Chart 25">
          <a:extLst>
            <a:ext uri="{FF2B5EF4-FFF2-40B4-BE49-F238E27FC236}">
              <a16:creationId xmlns:a16="http://schemas.microsoft.com/office/drawing/2014/main" id="{BF966847-A9A8-44D8-9B75-C4A43831F0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9</xdr:row>
      <xdr:rowOff>68690</xdr:rowOff>
    </xdr:from>
    <xdr:to>
      <xdr:col>2</xdr:col>
      <xdr:colOff>414694</xdr:colOff>
      <xdr:row>21</xdr:row>
      <xdr:rowOff>91965</xdr:rowOff>
    </xdr:to>
    <mc:AlternateContent xmlns:mc="http://schemas.openxmlformats.org/markup-compatibility/2006" xmlns:a14="http://schemas.microsoft.com/office/drawing/2010/main">
      <mc:Choice Requires="a14">
        <xdr:graphicFrame macro="">
          <xdr:nvGraphicFramePr>
            <xdr:cNvPr id="27" name="Location">
              <a:extLst>
                <a:ext uri="{FF2B5EF4-FFF2-40B4-BE49-F238E27FC236}">
                  <a16:creationId xmlns:a16="http://schemas.microsoft.com/office/drawing/2014/main" id="{EE450989-BD08-3BFA-DD35-9E8C75A53EFB}"/>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0" y="1899765"/>
              <a:ext cx="1642993" cy="22069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xdr:row>
      <xdr:rowOff>17159</xdr:rowOff>
    </xdr:from>
    <xdr:to>
      <xdr:col>2</xdr:col>
      <xdr:colOff>414694</xdr:colOff>
      <xdr:row>9</xdr:row>
      <xdr:rowOff>39414</xdr:rowOff>
    </xdr:to>
    <mc:AlternateContent xmlns:mc="http://schemas.openxmlformats.org/markup-compatibility/2006" xmlns:a14="http://schemas.microsoft.com/office/drawing/2010/main">
      <mc:Choice Requires="a14">
        <xdr:graphicFrame macro="">
          <xdr:nvGraphicFramePr>
            <xdr:cNvPr id="28" name="Product type">
              <a:extLst>
                <a:ext uri="{FF2B5EF4-FFF2-40B4-BE49-F238E27FC236}">
                  <a16:creationId xmlns:a16="http://schemas.microsoft.com/office/drawing/2014/main" id="{82092F94-58C8-4ADD-5FBA-E75E57046E25}"/>
                </a:ext>
              </a:extLst>
            </xdr:cNvPr>
            <xdr:cNvGraphicFramePr/>
          </xdr:nvGraphicFramePr>
          <xdr:xfrm>
            <a:off x="0" y="0"/>
            <a:ext cx="0" cy="0"/>
          </xdr:xfrm>
          <a:graphic>
            <a:graphicData uri="http://schemas.microsoft.com/office/drawing/2010/slicer">
              <sle:slicer xmlns:sle="http://schemas.microsoft.com/office/drawing/2010/slicer" name="Product type"/>
            </a:graphicData>
          </a:graphic>
        </xdr:graphicFrame>
      </mc:Choice>
      <mc:Fallback xmlns="">
        <xdr:sp macro="" textlink="">
          <xdr:nvSpPr>
            <xdr:cNvPr id="0" name=""/>
            <xdr:cNvSpPr>
              <a:spLocks noTextEdit="1"/>
            </xdr:cNvSpPr>
          </xdr:nvSpPr>
          <xdr:spPr>
            <a:xfrm>
              <a:off x="0" y="358353"/>
              <a:ext cx="1642993" cy="15121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115956</xdr:rowOff>
    </xdr:from>
    <xdr:to>
      <xdr:col>2</xdr:col>
      <xdr:colOff>414694</xdr:colOff>
      <xdr:row>33</xdr:row>
      <xdr:rowOff>107608</xdr:rowOff>
    </xdr:to>
    <mc:AlternateContent xmlns:mc="http://schemas.openxmlformats.org/markup-compatibility/2006" xmlns:a14="http://schemas.microsoft.com/office/drawing/2010/main">
      <mc:Choice Requires="a14">
        <xdr:graphicFrame macro="">
          <xdr:nvGraphicFramePr>
            <xdr:cNvPr id="29" name="Supplier name">
              <a:extLst>
                <a:ext uri="{FF2B5EF4-FFF2-40B4-BE49-F238E27FC236}">
                  <a16:creationId xmlns:a16="http://schemas.microsoft.com/office/drawing/2014/main" id="{05090D08-AD3A-A777-B0BD-26CE3EEB64E8}"/>
                </a:ext>
              </a:extLst>
            </xdr:cNvPr>
            <xdr:cNvGraphicFramePr/>
          </xdr:nvGraphicFramePr>
          <xdr:xfrm>
            <a:off x="0" y="0"/>
            <a:ext cx="0" cy="0"/>
          </xdr:xfrm>
          <a:graphic>
            <a:graphicData uri="http://schemas.microsoft.com/office/drawing/2010/slicer">
              <sle:slicer xmlns:sle="http://schemas.microsoft.com/office/drawing/2010/slicer" name="Supplier name"/>
            </a:graphicData>
          </a:graphic>
        </xdr:graphicFrame>
      </mc:Choice>
      <mc:Fallback xmlns="">
        <xdr:sp macro="" textlink="">
          <xdr:nvSpPr>
            <xdr:cNvPr id="0" name=""/>
            <xdr:cNvSpPr>
              <a:spLocks noTextEdit="1"/>
            </xdr:cNvSpPr>
          </xdr:nvSpPr>
          <xdr:spPr>
            <a:xfrm>
              <a:off x="0" y="4130672"/>
              <a:ext cx="1642993" cy="21752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33</xdr:row>
      <xdr:rowOff>128721</xdr:rowOff>
    </xdr:from>
    <xdr:to>
      <xdr:col>2</xdr:col>
      <xdr:colOff>414693</xdr:colOff>
      <xdr:row>44</xdr:row>
      <xdr:rowOff>105104</xdr:rowOff>
    </xdr:to>
    <mc:AlternateContent xmlns:mc="http://schemas.openxmlformats.org/markup-compatibility/2006" xmlns:a14="http://schemas.microsoft.com/office/drawing/2010/main">
      <mc:Choice Requires="a14">
        <xdr:graphicFrame macro="">
          <xdr:nvGraphicFramePr>
            <xdr:cNvPr id="30" name="Transportation modes">
              <a:extLst>
                <a:ext uri="{FF2B5EF4-FFF2-40B4-BE49-F238E27FC236}">
                  <a16:creationId xmlns:a16="http://schemas.microsoft.com/office/drawing/2014/main" id="{35BBA0F3-A36B-DB2A-620E-C4F6860604AD}"/>
                </a:ext>
              </a:extLst>
            </xdr:cNvPr>
            <xdr:cNvGraphicFramePr/>
          </xdr:nvGraphicFramePr>
          <xdr:xfrm>
            <a:off x="0" y="0"/>
            <a:ext cx="0" cy="0"/>
          </xdr:xfrm>
          <a:graphic>
            <a:graphicData uri="http://schemas.microsoft.com/office/drawing/2010/slicer">
              <sle:slicer xmlns:sle="http://schemas.microsoft.com/office/drawing/2010/slicer" name="Transportation modes"/>
            </a:graphicData>
          </a:graphic>
        </xdr:graphicFrame>
      </mc:Choice>
      <mc:Fallback xmlns="">
        <xdr:sp macro="" textlink="">
          <xdr:nvSpPr>
            <xdr:cNvPr id="0" name=""/>
            <xdr:cNvSpPr>
              <a:spLocks noTextEdit="1"/>
            </xdr:cNvSpPr>
          </xdr:nvSpPr>
          <xdr:spPr>
            <a:xfrm>
              <a:off x="0" y="6327079"/>
              <a:ext cx="1642992" cy="19780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55.476625694442" createdVersion="8" refreshedVersion="8" minRefreshableVersion="3" recordCount="100" xr:uid="{D729667D-9E8F-465C-A5DC-FE41BBAC0A39}">
  <cacheSource type="worksheet">
    <worksheetSource name="Table1"/>
  </cacheSource>
  <cacheFields count="26">
    <cacheField name="Product type" numFmtId="49">
      <sharedItems/>
    </cacheField>
    <cacheField name="SKU" numFmtId="49">
      <sharedItems/>
    </cacheField>
    <cacheField name="Price" numFmtId="164">
      <sharedItems containsSemiMixedTypes="0" containsString="0" containsNumber="1" minValue="1.6999760138659299" maxValue="99.171328638624104"/>
    </cacheField>
    <cacheField name="Availability" numFmtId="2">
      <sharedItems containsSemiMixedTypes="0" containsString="0" containsNumber="1" containsInteger="1" minValue="1" maxValue="100"/>
    </cacheField>
    <cacheField name="Number of products sold" numFmtId="2">
      <sharedItems containsSemiMixedTypes="0" containsString="0" containsNumber="1" containsInteger="1" minValue="8" maxValue="996"/>
    </cacheField>
    <cacheField name="Revenue generated" numFmtId="1">
      <sharedItems containsSemiMixedTypes="0" containsString="0" containsNumber="1" minValue="1061.6185230132801" maxValue="9866.4654579796897"/>
    </cacheField>
    <cacheField name="Customer demographics" numFmtId="0">
      <sharedItems/>
    </cacheField>
    <cacheField name="Stock levels" numFmtId="0">
      <sharedItems containsSemiMixedTypes="0" containsString="0" containsNumber="1" containsInteger="1" minValue="0" maxValue="100"/>
    </cacheField>
    <cacheField name="Lead times" numFmtId="2">
      <sharedItems containsSemiMixedTypes="0" containsString="0" containsNumber="1" containsInteger="1" minValue="1" maxValue="30"/>
    </cacheField>
    <cacheField name="Order quantities" numFmtId="0">
      <sharedItems containsSemiMixedTypes="0" containsString="0" containsNumber="1" containsInteger="1" minValue="1" maxValue="96"/>
    </cacheField>
    <cacheField name="Shipping times" numFmtId="0">
      <sharedItems containsSemiMixedTypes="0" containsString="0" containsNumber="1" containsInteger="1" minValue="1" maxValue="10"/>
    </cacheField>
    <cacheField name="Shipping carriers" numFmtId="49">
      <sharedItems/>
    </cacheField>
    <cacheField name="Shipping costs" numFmtId="164">
      <sharedItems containsSemiMixedTypes="0" containsString="0" containsNumber="1" minValue="1.0134865660958901" maxValue="9.9298162452772498"/>
    </cacheField>
    <cacheField name="Supplier name" numFmtId="0">
      <sharedItems/>
    </cacheField>
    <cacheField name="Location" numFmtId="0">
      <sharedItems/>
    </cacheField>
    <cacheField name="Lead time" numFmtId="0">
      <sharedItems containsSemiMixedTypes="0" containsString="0" containsNumber="1" containsInteger="1" minValue="1" maxValue="30"/>
    </cacheField>
    <cacheField name="Production volumes" numFmtId="0">
      <sharedItems containsSemiMixedTypes="0" containsString="0" containsNumber="1" containsInteger="1" minValue="104" maxValue="985"/>
    </cacheField>
    <cacheField name="Manufacturing lead time" numFmtId="0">
      <sharedItems containsSemiMixedTypes="0" containsString="0" containsNumber="1" containsInteger="1" minValue="1" maxValue="30"/>
    </cacheField>
    <cacheField name="Manufacturing costs" numFmtId="0">
      <sharedItems containsSemiMixedTypes="0" containsString="0" containsNumber="1" minValue="1.0850685695870601" maxValue="99.466108603599096"/>
    </cacheField>
    <cacheField name="Inspection results" numFmtId="0">
      <sharedItems/>
    </cacheField>
    <cacheField name="Defect rates" numFmtId="10">
      <sharedItems containsSemiMixedTypes="0" containsString="0" containsNumber="1" minValue="1.8607567631014899E-2" maxValue="4.9392552886209398"/>
    </cacheField>
    <cacheField name="Transportation modes" numFmtId="0">
      <sharedItems count="4">
        <s v="Road"/>
        <s v="Air"/>
        <s v="Rail"/>
        <s v="Sea"/>
      </sharedItems>
    </cacheField>
    <cacheField name="Routes" numFmtId="0">
      <sharedItems/>
    </cacheField>
    <cacheField name="Costs" numFmtId="0">
      <sharedItems containsSemiMixedTypes="0" containsString="0" containsNumber="1" minValue="103.916247960704" maxValue="997.41345013319403"/>
    </cacheField>
    <cacheField name="Profit" numFmtId="164">
      <sharedItems containsSemiMixedTypes="0" containsString="0" containsNumber="1" minValue="1052.424038172893" maxValue="9847.4921290771726"/>
    </cacheField>
    <cacheField name="Profit Margin" numFmtId="10">
      <sharedItems containsSemiMixedTypes="0" containsString="0" containsNumber="1" minValue="0.93813937029605732" maxValue="0.9993652653222960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55.555271759258" backgroundQuery="1" createdVersion="8" refreshedVersion="8" minRefreshableVersion="3" recordCount="0" supportSubquery="1" supportAdvancedDrill="1" xr:uid="{5A3DC734-5E5E-476B-AA53-363B896420C0}">
  <cacheSource type="external" connectionId="1"/>
  <cacheFields count="3">
    <cacheField name="[Table1].[Location].[Location]" caption="Location" numFmtId="0" hierarchy="14" level="1">
      <sharedItems count="5">
        <s v="Bangalore"/>
        <s v="Chennai"/>
        <s v="Delhi"/>
        <s v="Kolkata"/>
        <s v="Mumbai"/>
      </sharedItems>
    </cacheField>
    <cacheField name="[Measures].[Sum of Revenue generated]" caption="Sum of Revenue generated" numFmtId="0" hierarchy="41" level="32767"/>
    <cacheField name="[Table1].[Transportation modes].[Transportation modes]" caption="Transportation modes" numFmtId="0" hierarchy="21" level="1">
      <sharedItems containsSemiMixedTypes="0" containsNonDate="0" containsString="0"/>
    </cacheField>
  </cacheFields>
  <cacheHierarchies count="49">
    <cacheHierarchy uniqueName="[Table1].[Product type]" caption="Product type" attribute="1" defaultMemberUniqueName="[Table1].[Product type].[All]" allUniqueName="[Table1].[Product type].[All]" dimensionUniqueName="[Table1]" displayFolder="" count="2" memberValueDatatype="130" unbalanced="0"/>
    <cacheHierarchy uniqueName="[Table1].[SKU]" caption="SKU" attribute="1" defaultMemberUniqueName="[Table1].[SKU].[All]" allUniqueName="[Table1].[SKU].[All]" dimensionUniqueName="[Table1]" displayFolder="" count="2" memberValueDatatype="130" unbalanced="0"/>
    <cacheHierarchy uniqueName="[Table1].[Price]" caption="Price" attribute="1" defaultMemberUniqueName="[Table1].[Price].[All]" allUniqueName="[Table1].[Price].[All]" dimensionUniqueName="[Table1]" displayFolder="" count="2" memberValueDatatype="5" unbalanced="0"/>
    <cacheHierarchy uniqueName="[Table1].[Availability]" caption="Availability" attribute="1" defaultMemberUniqueName="[Table1].[Availability].[All]" allUniqueName="[Table1].[Availability].[All]" dimensionUniqueName="[Table1]" displayFolder="" count="2" memberValueDatatype="20" unbalanced="0"/>
    <cacheHierarchy uniqueName="[Table1].[Number of products sold]" caption="Number of products sold" attribute="1" defaultMemberUniqueName="[Table1].[Number of products sold].[All]" allUniqueName="[Table1].[Number of products sold].[All]" dimensionUniqueName="[Table1]" displayFolder="" count="2" memberValueDatatype="20" unbalanced="0"/>
    <cacheHierarchy uniqueName="[Table1].[Revenue generated]" caption="Revenue generated" attribute="1" defaultMemberUniqueName="[Table1].[Revenue generated].[All]" allUniqueName="[Table1].[Revenue generated].[All]" dimensionUniqueName="[Table1]" displayFolder="" count="2" memberValueDatatype="5" unbalanced="0"/>
    <cacheHierarchy uniqueName="[Table1].[Customer demographics]" caption="Customer demographics" attribute="1" defaultMemberUniqueName="[Table1].[Customer demographics].[All]" allUniqueName="[Table1].[Customer demographics].[All]" dimensionUniqueName="[Table1]" displayFolder="" count="2" memberValueDatatype="130" unbalanced="0"/>
    <cacheHierarchy uniqueName="[Table1].[Stock levels]" caption="Stock levels" attribute="1" defaultMemberUniqueName="[Table1].[Stock levels].[All]" allUniqueName="[Table1].[Stock levels].[All]" dimensionUniqueName="[Table1]" displayFolder="" count="2" memberValueDatatype="20" unbalanced="0"/>
    <cacheHierarchy uniqueName="[Table1].[Lead times]" caption="Lead times" attribute="1" defaultMemberUniqueName="[Table1].[Lead times].[All]" allUniqueName="[Table1].[Lead times].[All]" dimensionUniqueName="[Table1]" displayFolder="" count="2" memberValueDatatype="20" unbalanced="0"/>
    <cacheHierarchy uniqueName="[Table1].[Order quantities]" caption="Order quantities" attribute="1" defaultMemberUniqueName="[Table1].[Order quantities].[All]" allUniqueName="[Table1].[Order quantities].[All]" dimensionUniqueName="[Table1]" displayFolder="" count="2" memberValueDatatype="20" unbalanced="0"/>
    <cacheHierarchy uniqueName="[Table1].[Shipping times]" caption="Shipping times" attribute="1" defaultMemberUniqueName="[Table1].[Shipping times].[All]" allUniqueName="[Table1].[Shipping times].[All]" dimensionUniqueName="[Table1]" displayFolder="" count="2" memberValueDatatype="20" unbalanced="0"/>
    <cacheHierarchy uniqueName="[Table1].[Shipping carriers]" caption="Shipping carriers" attribute="1" defaultMemberUniqueName="[Table1].[Shipping carriers].[All]" allUniqueName="[Table1].[Shipping carriers].[All]" dimensionUniqueName="[Table1]" displayFolder="" count="2" memberValueDatatype="130" unbalanced="0"/>
    <cacheHierarchy uniqueName="[Table1].[Shipping costs]" caption="Shipping costs" attribute="1" defaultMemberUniqueName="[Table1].[Shipping costs].[All]" allUniqueName="[Table1].[Shipping costs].[All]" dimensionUniqueName="[Table1]" displayFolder="" count="2" memberValueDatatype="5" unbalanced="0"/>
    <cacheHierarchy uniqueName="[Table1].[Supplier name]" caption="Supplier name" attribute="1" defaultMemberUniqueName="[Table1].[Supplier name].[All]" allUniqueName="[Table1].[Supplier name].[All]" dimensionUniqueName="[Table1]" displayFolder="" count="2" memberValueDatatype="130" unbalanced="0"/>
    <cacheHierarchy uniqueName="[Table1].[Location]" caption="Location" attribute="1" defaultMemberUniqueName="[Table1].[Location].[All]" allUniqueName="[Table1].[Location].[All]" dimensionUniqueName="[Table1]" displayFolder="" count="2" memberValueDatatype="130" unbalanced="0">
      <fieldsUsage count="2">
        <fieldUsage x="-1"/>
        <fieldUsage x="0"/>
      </fieldsUsage>
    </cacheHierarchy>
    <cacheHierarchy uniqueName="[Table1].[Lead time]" caption="Lead time" attribute="1" defaultMemberUniqueName="[Table1].[Lead time].[All]" allUniqueName="[Table1].[Lead time].[All]" dimensionUniqueName="[Table1]" displayFolder="" count="2" memberValueDatatype="20" unbalanced="0"/>
    <cacheHierarchy uniqueName="[Table1].[Production volumes]" caption="Production volumes" attribute="1" defaultMemberUniqueName="[Table1].[Production volumes].[All]" allUniqueName="[Table1].[Production volumes].[All]" dimensionUniqueName="[Table1]" displayFolder="" count="2" memberValueDatatype="20" unbalanced="0"/>
    <cacheHierarchy uniqueName="[Table1].[Manufacturing lead time]" caption="Manufacturing lead time" attribute="1" defaultMemberUniqueName="[Table1].[Manufacturing lead time].[All]" allUniqueName="[Table1].[Manufacturing lead time].[All]" dimensionUniqueName="[Table1]" displayFolder="" count="2" memberValueDatatype="20" unbalanced="0"/>
    <cacheHierarchy uniqueName="[Table1].[Manufacturing costs]" caption="Manufacturing costs" attribute="1" defaultMemberUniqueName="[Table1].[Manufacturing costs].[All]" allUniqueName="[Table1].[Manufacturing costs].[All]" dimensionUniqueName="[Table1]" displayFolder="" count="2" memberValueDatatype="5" unbalanced="0"/>
    <cacheHierarchy uniqueName="[Table1].[Inspection results]" caption="Inspection results" attribute="1" defaultMemberUniqueName="[Table1].[Inspection results].[All]" allUniqueName="[Table1].[Inspection results].[All]" dimensionUniqueName="[Table1]" displayFolder="" count="2" memberValueDatatype="130" unbalanced="0"/>
    <cacheHierarchy uniqueName="[Table1].[Defect rates]" caption="Defect rates" attribute="1" defaultMemberUniqueName="[Table1].[Defect rates].[All]" allUniqueName="[Table1].[Defect rates].[All]" dimensionUniqueName="[Table1]" displayFolder="" count="2" memberValueDatatype="5" unbalanced="0"/>
    <cacheHierarchy uniqueName="[Table1].[Transportation modes]" caption="Transportation modes" attribute="1" defaultMemberUniqueName="[Table1].[Transportation modes].[All]" allUniqueName="[Table1].[Transportation modes].[All]" dimensionUniqueName="[Table1]" displayFolder="" count="2" memberValueDatatype="130" unbalanced="0">
      <fieldsUsage count="2">
        <fieldUsage x="-1"/>
        <fieldUsage x="2"/>
      </fieldsUsage>
    </cacheHierarchy>
    <cacheHierarchy uniqueName="[Table1].[Routes]" caption="Routes" attribute="1" defaultMemberUniqueName="[Table1].[Routes].[All]" allUniqueName="[Table1].[Routes].[All]" dimensionUniqueName="[Table1]" displayFolder="" count="2" memberValueDatatype="130" unbalanced="0"/>
    <cacheHierarchy uniqueName="[Table1].[Costs]" caption="Costs" attribute="1" defaultMemberUniqueName="[Table1].[Costs].[All]" allUniqueName="[Table1].[Costs].[All]" dimensionUniqueName="[Table1]" displayFolder="" count="2" memberValueDatatype="5" unbalanced="0"/>
    <cacheHierarchy uniqueName="[Table1].[Profit]" caption="Profit" attribute="1" defaultMemberUniqueName="[Table1].[Profit].[All]" allUniqueName="[Table1].[Profit].[All]" dimensionUniqueName="[Table1]" displayFolder="" count="2" memberValueDatatype="5" unbalanced="0"/>
    <cacheHierarchy uniqueName="[Table1].[Profit Margin]" caption="Profit Margin" attribute="1" defaultMemberUniqueName="[Table1].[Profit Margin].[All]" allUniqueName="[Table1].[Profit Margin].[All]" dimensionUniqueName="[Table1]" displayFolder="" count="2" memberValueDatatype="5" unbalanced="0"/>
    <cacheHierarchy uniqueName="[Table1  Location   Profit Margin].[Location]" caption="Location" attribute="1" defaultMemberUniqueName="[Table1  Location   Profit Margin].[Location].[All]" allUniqueName="[Table1  Location   Profit Margin].[Location].[All]" dimensionUniqueName="[Table1  Location   Profit Margin]" displayFolder="" count="2" memberValueDatatype="130" unbalanced="0"/>
    <cacheHierarchy uniqueName="[Table1  Location   Profit Margin].[Lead time]" caption="Lead time" attribute="1" defaultMemberUniqueName="[Table1  Location   Profit Margin].[Lead time].[All]" allUniqueName="[Table1  Location   Profit Margin].[Lead time].[All]" dimensionUniqueName="[Table1  Location   Profit Margin]" displayFolder="" count="2" memberValueDatatype="20" unbalanced="0"/>
    <cacheHierarchy uniqueName="[Table1  Location   Profit Margin].[Production volumes]" caption="Production volumes" attribute="1" defaultMemberUniqueName="[Table1  Location   Profit Margin].[Production volumes].[All]" allUniqueName="[Table1  Location   Profit Margin].[Production volumes].[All]" dimensionUniqueName="[Table1  Location   Profit Margin]" displayFolder="" count="2" memberValueDatatype="20" unbalanced="0"/>
    <cacheHierarchy uniqueName="[Table1  Location   Profit Margin].[Manufacturing lead time]" caption="Manufacturing lead time" attribute="1" defaultMemberUniqueName="[Table1  Location   Profit Margin].[Manufacturing lead time].[All]" allUniqueName="[Table1  Location   Profit Margin].[Manufacturing lead time].[All]" dimensionUniqueName="[Table1  Location   Profit Margin]" displayFolder="" count="2" memberValueDatatype="20" unbalanced="0"/>
    <cacheHierarchy uniqueName="[Table1  Location   Profit Margin].[Manufacturing costs]" caption="Manufacturing costs" attribute="1" defaultMemberUniqueName="[Table1  Location   Profit Margin].[Manufacturing costs].[All]" allUniqueName="[Table1  Location   Profit Margin].[Manufacturing costs].[All]" dimensionUniqueName="[Table1  Location   Profit Margin]" displayFolder="" count="2" memberValueDatatype="5" unbalanced="0"/>
    <cacheHierarchy uniqueName="[Table1  Location   Profit Margin].[Inspection results]" caption="Inspection results" attribute="1" defaultMemberUniqueName="[Table1  Location   Profit Margin].[Inspection results].[All]" allUniqueName="[Table1  Location   Profit Margin].[Inspection results].[All]" dimensionUniqueName="[Table1  Location   Profit Margin]" displayFolder="" count="2" memberValueDatatype="130" unbalanced="0"/>
    <cacheHierarchy uniqueName="[Table1  Location   Profit Margin].[Defect rates]" caption="Defect rates" attribute="1" defaultMemberUniqueName="[Table1  Location   Profit Margin].[Defect rates].[All]" allUniqueName="[Table1  Location   Profit Margin].[Defect rates].[All]" dimensionUniqueName="[Table1  Location   Profit Margin]" displayFolder="" count="2" memberValueDatatype="5" unbalanced="0"/>
    <cacheHierarchy uniqueName="[Table1  Location   Profit Margin].[Transportation modes]" caption="Transportation modes" attribute="1" defaultMemberUniqueName="[Table1  Location   Profit Margin].[Transportation modes].[All]" allUniqueName="[Table1  Location   Profit Margin].[Transportation modes].[All]" dimensionUniqueName="[Table1  Location   Profit Margin]" displayFolder="" count="2" memberValueDatatype="130" unbalanced="0"/>
    <cacheHierarchy uniqueName="[Table1  Location   Profit Margin].[Routes]" caption="Routes" attribute="1" defaultMemberUniqueName="[Table1  Location   Profit Margin].[Routes].[All]" allUniqueName="[Table1  Location   Profit Margin].[Routes].[All]" dimensionUniqueName="[Table1  Location   Profit Margin]" displayFolder="" count="2" memberValueDatatype="130" unbalanced="0"/>
    <cacheHierarchy uniqueName="[Table1  Location   Profit Margin].[Costs]" caption="Costs" attribute="1" defaultMemberUniqueName="[Table1  Location   Profit Margin].[Costs].[All]" allUniqueName="[Table1  Location   Profit Margin].[Costs].[All]" dimensionUniqueName="[Table1  Location   Profit Margin]" displayFolder="" count="2" memberValueDatatype="5" unbalanced="0"/>
    <cacheHierarchy uniqueName="[Table1  Location   Profit Margin].[Profit]" caption="Profit" attribute="1" defaultMemberUniqueName="[Table1  Location   Profit Margin].[Profit].[All]" allUniqueName="[Table1  Location   Profit Margin].[Profit].[All]" dimensionUniqueName="[Table1  Location   Profit Margin]" displayFolder="" count="2" memberValueDatatype="5" unbalanced="0"/>
    <cacheHierarchy uniqueName="[Table1  Location   Profit Margin].[Profit Margin]" caption="Profit Margin" attribute="1" defaultMemberUniqueName="[Table1  Location   Profit Margin].[Profit Margin].[All]" allUniqueName="[Table1  Location   Profit Margin].[Profit Margin].[All]" dimensionUniqueName="[Table1  Location   Profit Margin]" displayFolder="" count="2" memberValueDatatype="5" unbalanced="0"/>
    <cacheHierarchy uniqueName="[Measures].[__XL_Count Table1  Location   Profit Margin]" caption="__XL_Count Table1  Location   Profit Margin" measure="1" displayFolder="" measureGroup="Table1  Location   Profit Margin"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generated]" caption="Sum of Revenue generated"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Defect rates]" caption="Sum of Defect rates" measure="1" displayFolder="" measureGroup="Table1" count="0" hidden="1">
      <extLst>
        <ext xmlns:x15="http://schemas.microsoft.com/office/spreadsheetml/2010/11/main" uri="{B97F6D7D-B522-45F9-BDA1-12C45D357490}">
          <x15:cacheHierarchy aggregatedColumn="20"/>
        </ext>
      </extLst>
    </cacheHierarchy>
    <cacheHierarchy uniqueName="[Measures].[Average of Defect rates]" caption="Average of Defect rates" measure="1" displayFolder="" measureGroup="Table1" count="0" hidden="1">
      <extLst>
        <ext xmlns:x15="http://schemas.microsoft.com/office/spreadsheetml/2010/11/main" uri="{B97F6D7D-B522-45F9-BDA1-12C45D357490}">
          <x15:cacheHierarchy aggregatedColumn="20"/>
        </ext>
      </extLst>
    </cacheHierarchy>
    <cacheHierarchy uniqueName="[Measures].[Count of Inspection results]" caption="Count of Inspection results" measure="1" displayFolder="" measureGroup="Table1  Location   Profit Margin" count="0" hidden="1">
      <extLst>
        <ext xmlns:x15="http://schemas.microsoft.com/office/spreadsheetml/2010/11/main" uri="{B97F6D7D-B522-45F9-BDA1-12C45D357490}">
          <x15:cacheHierarchy aggregatedColumn="31"/>
        </ext>
      </extLst>
    </cacheHierarchy>
    <cacheHierarchy uniqueName="[Measures].[Sum of Lead times]" caption="Sum of Lead times" measure="1" displayFolder="" measureGroup="Table1" count="0" hidden="1">
      <extLst>
        <ext xmlns:x15="http://schemas.microsoft.com/office/spreadsheetml/2010/11/main" uri="{B97F6D7D-B522-45F9-BDA1-12C45D357490}">
          <x15:cacheHierarchy aggregatedColumn="8"/>
        </ext>
      </extLst>
    </cacheHierarchy>
    <cacheHierarchy uniqueName="[Measures].[Sum of Shipping costs]" caption="Sum of Shipping costs" measure="1" displayFolder="" measureGroup="Table1" count="0" hidden="1">
      <extLst>
        <ext xmlns:x15="http://schemas.microsoft.com/office/spreadsheetml/2010/11/main" uri="{B97F6D7D-B522-45F9-BDA1-12C45D357490}">
          <x15:cacheHierarchy aggregatedColumn="12"/>
        </ext>
      </extLst>
    </cacheHierarchy>
    <cacheHierarchy uniqueName="[Measures].[Sum of Number of products sold]" caption="Sum of Number of products sold" measure="1" displayFolder="" measureGroup="Table1"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4"/>
        </ext>
      </extLst>
    </cacheHierarchy>
  </cacheHierarchies>
  <kpis count="0"/>
  <dimensions count="3">
    <dimension measure="1" name="Measures" uniqueName="[Measures]" caption="Measures"/>
    <dimension name="Table1" uniqueName="[Table1]" caption="Table1"/>
    <dimension name="Table1  Location   Profit Margin" uniqueName="[Table1  Location   Profit Margin]" caption="Table1  Location   Profit Margin"/>
  </dimensions>
  <measureGroups count="2">
    <measureGroup name="Table1" caption="Table1"/>
    <measureGroup name="Table1  Location   Profit Margin" caption="Table1  Location   Profit Margi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55.555272337966" backgroundQuery="1" createdVersion="8" refreshedVersion="8" minRefreshableVersion="3" recordCount="0" supportSubquery="1" supportAdvancedDrill="1" xr:uid="{F3AEFCA8-1886-4A17-B6D4-C24410E65422}">
  <cacheSource type="external" connectionId="1"/>
  <cacheFields count="3">
    <cacheField name="[Table1].[Product type].[Product type]" caption="Product type" numFmtId="0" level="1">
      <sharedItems count="3">
        <s v="cosmetics"/>
        <s v="haircare"/>
        <s v="skincare"/>
      </sharedItems>
    </cacheField>
    <cacheField name="[Measures].[Sum of Revenue generated]" caption="Sum of Revenue generated" numFmtId="0" hierarchy="41" level="32767"/>
    <cacheField name="[Table1].[Transportation modes].[Transportation modes]" caption="Transportation modes" numFmtId="0" hierarchy="21" level="1">
      <sharedItems containsSemiMixedTypes="0" containsNonDate="0" containsString="0"/>
    </cacheField>
  </cacheFields>
  <cacheHierarchies count="49">
    <cacheHierarchy uniqueName="[Table1].[Product type]" caption="Product type" attribute="1" defaultMemberUniqueName="[Table1].[Product type].[All]" allUniqueName="[Table1].[Product type].[All]" dimensionUniqueName="[Table1]" displayFolder="" count="2" memberValueDatatype="130" unbalanced="0">
      <fieldsUsage count="2">
        <fieldUsage x="-1"/>
        <fieldUsage x="0"/>
      </fieldsUsage>
    </cacheHierarchy>
    <cacheHierarchy uniqueName="[Table1].[SKU]" caption="SKU" attribute="1" defaultMemberUniqueName="[Table1].[SKU].[All]" allUniqueName="[Table1].[SKU].[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Availability]" caption="Availability" attribute="1" defaultMemberUniqueName="[Table1].[Availability].[All]" allUniqueName="[Table1].[Availability].[All]" dimensionUniqueName="[Table1]" displayFolder="" count="0" memberValueDatatype="20" unbalanced="0"/>
    <cacheHierarchy uniqueName="[Table1].[Number of products sold]" caption="Number of products sold" attribute="1" defaultMemberUniqueName="[Table1].[Number of products sold].[All]" allUniqueName="[Table1].[Number of products sold].[All]" dimensionUniqueName="[Table1]" displayFolder="" count="0" memberValueDatatype="20" unbalanced="0"/>
    <cacheHierarchy uniqueName="[Table1].[Revenue generated]" caption="Revenue generated" attribute="1" defaultMemberUniqueName="[Table1].[Revenue generated].[All]" allUniqueName="[Table1].[Revenue generated].[All]" dimensionUniqueName="[Table1]" displayFolder="" count="0" memberValueDatatype="5" unbalanced="0"/>
    <cacheHierarchy uniqueName="[Table1].[Customer demographics]" caption="Customer demographics" attribute="1" defaultMemberUniqueName="[Table1].[Customer demographics].[All]" allUniqueName="[Table1].[Customer demographics].[All]" dimensionUniqueName="[Table1]" displayFolder="" count="0" memberValueDatatype="130" unbalanced="0"/>
    <cacheHierarchy uniqueName="[Table1].[Stock levels]" caption="Stock levels" attribute="1" defaultMemberUniqueName="[Table1].[Stock levels].[All]" allUniqueName="[Table1].[Stock levels].[All]" dimensionUniqueName="[Table1]" displayFolder="" count="0" memberValueDatatype="20" unbalanced="0"/>
    <cacheHierarchy uniqueName="[Table1].[Lead times]" caption="Lead times" attribute="1" defaultMemberUniqueName="[Table1].[Lead times].[All]" allUniqueName="[Table1].[Lead times].[All]" dimensionUniqueName="[Table1]" displayFolder="" count="0" memberValueDatatype="20" unbalanced="0"/>
    <cacheHierarchy uniqueName="[Table1].[Order quantities]" caption="Order quantities" attribute="1" defaultMemberUniqueName="[Table1].[Order quantities].[All]" allUniqueName="[Table1].[Order quantities].[All]" dimensionUniqueName="[Table1]" displayFolder="" count="0" memberValueDatatype="20" unbalanced="0"/>
    <cacheHierarchy uniqueName="[Table1].[Shipping times]" caption="Shipping times" attribute="1" defaultMemberUniqueName="[Table1].[Shipping times].[All]" allUniqueName="[Table1].[Shipping times].[All]" dimensionUniqueName="[Table1]" displayFolder="" count="0" memberValueDatatype="20" unbalanced="0"/>
    <cacheHierarchy uniqueName="[Table1].[Shipping carriers]" caption="Shipping carriers" attribute="1" defaultMemberUniqueName="[Table1].[Shipping carriers].[All]" allUniqueName="[Table1].[Shipping carriers].[All]" dimensionUniqueName="[Table1]" displayFolder="" count="0" memberValueDatatype="130" unbalanced="0"/>
    <cacheHierarchy uniqueName="[Table1].[Shipping costs]" caption="Shipping costs" attribute="1" defaultMemberUniqueName="[Table1].[Shipping costs].[All]" allUniqueName="[Table1].[Shipping costs].[All]" dimensionUniqueName="[Table1]" displayFolder="" count="0" memberValueDatatype="5" unbalanced="0"/>
    <cacheHierarchy uniqueName="[Table1].[Supplier name]" caption="Supplier name" attribute="1" defaultMemberUniqueName="[Table1].[Supplier name].[All]" allUniqueName="[Table1].[Supplier name].[All]" dimensionUniqueName="[Table1]" displayFolder="" count="2" memberValueDatatype="130" unbalanced="0"/>
    <cacheHierarchy uniqueName="[Table1].[Location]" caption="Location" attribute="1" defaultMemberUniqueName="[Table1].[Location].[All]" allUniqueName="[Table1].[Location].[All]" dimensionUniqueName="[Table1]" displayFolder="" count="2" memberValueDatatype="130" unbalanced="0"/>
    <cacheHierarchy uniqueName="[Table1].[Lead time]" caption="Lead time" attribute="1" defaultMemberUniqueName="[Table1].[Lead time].[All]" allUniqueName="[Table1].[Lead time].[All]" dimensionUniqueName="[Table1]" displayFolder="" count="0" memberValueDatatype="20" unbalanced="0"/>
    <cacheHierarchy uniqueName="[Table1].[Production volumes]" caption="Production volumes" attribute="1" defaultMemberUniqueName="[Table1].[Production volumes].[All]" allUniqueName="[Table1].[Production volumes].[All]" dimensionUniqueName="[Table1]" displayFolder="" count="0" memberValueDatatype="20" unbalanced="0"/>
    <cacheHierarchy uniqueName="[Table1].[Manufacturing lead time]" caption="Manufacturing lead time" attribute="1" defaultMemberUniqueName="[Table1].[Manufacturing lead time].[All]" allUniqueName="[Table1].[Manufacturing lead time].[All]" dimensionUniqueName="[Table1]" displayFolder="" count="0" memberValueDatatype="20" unbalanced="0"/>
    <cacheHierarchy uniqueName="[Table1].[Manufacturing costs]" caption="Manufacturing costs" attribute="1" defaultMemberUniqueName="[Table1].[Manufacturing costs].[All]" allUniqueName="[Table1].[Manufacturing costs].[All]" dimensionUniqueName="[Table1]" displayFolder="" count="0" memberValueDatatype="5" unbalanced="0"/>
    <cacheHierarchy uniqueName="[Table1].[Inspection results]" caption="Inspection results" attribute="1" defaultMemberUniqueName="[Table1].[Inspection results].[All]" allUniqueName="[Table1].[Inspection results].[All]" dimensionUniqueName="[Table1]" displayFolder="" count="0" memberValueDatatype="130" unbalanced="0"/>
    <cacheHierarchy uniqueName="[Table1].[Defect rates]" caption="Defect rates" attribute="1" defaultMemberUniqueName="[Table1].[Defect rates].[All]" allUniqueName="[Table1].[Defect rates].[All]" dimensionUniqueName="[Table1]" displayFolder="" count="0" memberValueDatatype="5" unbalanced="0"/>
    <cacheHierarchy uniqueName="[Table1].[Transportation modes]" caption="Transportation modes" attribute="1" defaultMemberUniqueName="[Table1].[Transportation modes].[All]" allUniqueName="[Table1].[Transportation modes].[All]" dimensionUniqueName="[Table1]" displayFolder="" count="2" memberValueDatatype="130" unbalanced="0">
      <fieldsUsage count="2">
        <fieldUsage x="-1"/>
        <fieldUsage x="2"/>
      </fieldsUsage>
    </cacheHierarchy>
    <cacheHierarchy uniqueName="[Table1].[Routes]" caption="Routes" attribute="1" defaultMemberUniqueName="[Table1].[Routes].[All]" allUniqueName="[Table1].[Routes].[All]" dimensionUniqueName="[Table1]" displayFolder="" count="0" memberValueDatatype="130" unbalanced="0"/>
    <cacheHierarchy uniqueName="[Table1].[Costs]" caption="Costs" attribute="1" defaultMemberUniqueName="[Table1].[Costs].[All]" allUniqueName="[Table1].[Cost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  Location   Profit Margin].[Location]" caption="Location" attribute="1" defaultMemberUniqueName="[Table1  Location   Profit Margin].[Location].[All]" allUniqueName="[Table1  Location   Profit Margin].[Location].[All]" dimensionUniqueName="[Table1  Location   Profit Margin]" displayFolder="" count="0" memberValueDatatype="130" unbalanced="0"/>
    <cacheHierarchy uniqueName="[Table1  Location   Profit Margin].[Lead time]" caption="Lead time" attribute="1" defaultMemberUniqueName="[Table1  Location   Profit Margin].[Lead time].[All]" allUniqueName="[Table1  Location   Profit Margin].[Lead time].[All]" dimensionUniqueName="[Table1  Location   Profit Margin]" displayFolder="" count="0" memberValueDatatype="20" unbalanced="0"/>
    <cacheHierarchy uniqueName="[Table1  Location   Profit Margin].[Production volumes]" caption="Production volumes" attribute="1" defaultMemberUniqueName="[Table1  Location   Profit Margin].[Production volumes].[All]" allUniqueName="[Table1  Location   Profit Margin].[Production volumes].[All]" dimensionUniqueName="[Table1  Location   Profit Margin]" displayFolder="" count="0" memberValueDatatype="20" unbalanced="0"/>
    <cacheHierarchy uniqueName="[Table1  Location   Profit Margin].[Manufacturing lead time]" caption="Manufacturing lead time" attribute="1" defaultMemberUniqueName="[Table1  Location   Profit Margin].[Manufacturing lead time].[All]" allUniqueName="[Table1  Location   Profit Margin].[Manufacturing lead time].[All]" dimensionUniqueName="[Table1  Location   Profit Margin]" displayFolder="" count="0" memberValueDatatype="20" unbalanced="0"/>
    <cacheHierarchy uniqueName="[Table1  Location   Profit Margin].[Manufacturing costs]" caption="Manufacturing costs" attribute="1" defaultMemberUniqueName="[Table1  Location   Profit Margin].[Manufacturing costs].[All]" allUniqueName="[Table1  Location   Profit Margin].[Manufacturing costs].[All]" dimensionUniqueName="[Table1  Location   Profit Margin]" displayFolder="" count="0" memberValueDatatype="5" unbalanced="0"/>
    <cacheHierarchy uniqueName="[Table1  Location   Profit Margin].[Inspection results]" caption="Inspection results" attribute="1" defaultMemberUniqueName="[Table1  Location   Profit Margin].[Inspection results].[All]" allUniqueName="[Table1  Location   Profit Margin].[Inspection results].[All]" dimensionUniqueName="[Table1  Location   Profit Margin]" displayFolder="" count="0" memberValueDatatype="130" unbalanced="0"/>
    <cacheHierarchy uniqueName="[Table1  Location   Profit Margin].[Defect rates]" caption="Defect rates" attribute="1" defaultMemberUniqueName="[Table1  Location   Profit Margin].[Defect rates].[All]" allUniqueName="[Table1  Location   Profit Margin].[Defect rates].[All]" dimensionUniqueName="[Table1  Location   Profit Margin]" displayFolder="" count="0" memberValueDatatype="5" unbalanced="0"/>
    <cacheHierarchy uniqueName="[Table1  Location   Profit Margin].[Transportation modes]" caption="Transportation modes" attribute="1" defaultMemberUniqueName="[Table1  Location   Profit Margin].[Transportation modes].[All]" allUniqueName="[Table1  Location   Profit Margin].[Transportation modes].[All]" dimensionUniqueName="[Table1  Location   Profit Margin]" displayFolder="" count="0" memberValueDatatype="130" unbalanced="0"/>
    <cacheHierarchy uniqueName="[Table1  Location   Profit Margin].[Routes]" caption="Routes" attribute="1" defaultMemberUniqueName="[Table1  Location   Profit Margin].[Routes].[All]" allUniqueName="[Table1  Location   Profit Margin].[Routes].[All]" dimensionUniqueName="[Table1  Location   Profit Margin]" displayFolder="" count="0" memberValueDatatype="130" unbalanced="0"/>
    <cacheHierarchy uniqueName="[Table1  Location   Profit Margin].[Costs]" caption="Costs" attribute="1" defaultMemberUniqueName="[Table1  Location   Profit Margin].[Costs].[All]" allUniqueName="[Table1  Location   Profit Margin].[Costs].[All]" dimensionUniqueName="[Table1  Location   Profit Margin]" displayFolder="" count="0" memberValueDatatype="5" unbalanced="0"/>
    <cacheHierarchy uniqueName="[Table1  Location   Profit Margin].[Profit]" caption="Profit" attribute="1" defaultMemberUniqueName="[Table1  Location   Profit Margin].[Profit].[All]" allUniqueName="[Table1  Location   Profit Margin].[Profit].[All]" dimensionUniqueName="[Table1  Location   Profit Margin]" displayFolder="" count="0" memberValueDatatype="5" unbalanced="0"/>
    <cacheHierarchy uniqueName="[Table1  Location   Profit Margin].[Profit Margin]" caption="Profit Margin" attribute="1" defaultMemberUniqueName="[Table1  Location   Profit Margin].[Profit Margin].[All]" allUniqueName="[Table1  Location   Profit Margin].[Profit Margin].[All]" dimensionUniqueName="[Table1  Location   Profit Margin]" displayFolder="" count="0" memberValueDatatype="5" unbalanced="0"/>
    <cacheHierarchy uniqueName="[Measures].[__XL_Count Table1  Location   Profit Margin]" caption="__XL_Count Table1  Location   Profit Margin" measure="1" displayFolder="" measureGroup="Table1  Location   Profit Margin"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generated]" caption="Sum of Revenue generated"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Defect rates]" caption="Sum of Defect rates" measure="1" displayFolder="" measureGroup="Table1" count="0" hidden="1">
      <extLst>
        <ext xmlns:x15="http://schemas.microsoft.com/office/spreadsheetml/2010/11/main" uri="{B97F6D7D-B522-45F9-BDA1-12C45D357490}">
          <x15:cacheHierarchy aggregatedColumn="20"/>
        </ext>
      </extLst>
    </cacheHierarchy>
    <cacheHierarchy uniqueName="[Measures].[Average of Defect rates]" caption="Average of Defect rates" measure="1" displayFolder="" measureGroup="Table1" count="0" hidden="1">
      <extLst>
        <ext xmlns:x15="http://schemas.microsoft.com/office/spreadsheetml/2010/11/main" uri="{B97F6D7D-B522-45F9-BDA1-12C45D357490}">
          <x15:cacheHierarchy aggregatedColumn="20"/>
        </ext>
      </extLst>
    </cacheHierarchy>
    <cacheHierarchy uniqueName="[Measures].[Count of Inspection results]" caption="Count of Inspection results" measure="1" displayFolder="" measureGroup="Table1  Location   Profit Margin" count="0" hidden="1">
      <extLst>
        <ext xmlns:x15="http://schemas.microsoft.com/office/spreadsheetml/2010/11/main" uri="{B97F6D7D-B522-45F9-BDA1-12C45D357490}">
          <x15:cacheHierarchy aggregatedColumn="31"/>
        </ext>
      </extLst>
    </cacheHierarchy>
    <cacheHierarchy uniqueName="[Measures].[Sum of Lead times]" caption="Sum of Lead times" measure="1" displayFolder="" measureGroup="Table1" count="0" hidden="1">
      <extLst>
        <ext xmlns:x15="http://schemas.microsoft.com/office/spreadsheetml/2010/11/main" uri="{B97F6D7D-B522-45F9-BDA1-12C45D357490}">
          <x15:cacheHierarchy aggregatedColumn="8"/>
        </ext>
      </extLst>
    </cacheHierarchy>
    <cacheHierarchy uniqueName="[Measures].[Sum of Shipping costs]" caption="Sum of Shipping costs" measure="1" displayFolder="" measureGroup="Table1" count="0" hidden="1">
      <extLst>
        <ext xmlns:x15="http://schemas.microsoft.com/office/spreadsheetml/2010/11/main" uri="{B97F6D7D-B522-45F9-BDA1-12C45D357490}">
          <x15:cacheHierarchy aggregatedColumn="12"/>
        </ext>
      </extLst>
    </cacheHierarchy>
    <cacheHierarchy uniqueName="[Measures].[Sum of Number of products sold]" caption="Sum of Number of products sold" measure="1" displayFolder="" measureGroup="Table1"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4"/>
        </ext>
      </extLst>
    </cacheHierarchy>
  </cacheHierarchies>
  <kpis count="0"/>
  <dimensions count="3">
    <dimension measure="1" name="Measures" uniqueName="[Measures]" caption="Measures"/>
    <dimension name="Table1" uniqueName="[Table1]" caption="Table1"/>
    <dimension name="Table1  Location   Profit Margin" uniqueName="[Table1  Location   Profit Margin]" caption="Table1  Location   Profit Margin"/>
  </dimensions>
  <measureGroups count="2">
    <measureGroup name="Table1" caption="Table1"/>
    <measureGroup name="Table1  Location   Profit Margin" caption="Table1  Location   Profit Margi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55.555273032405" backgroundQuery="1" createdVersion="8" refreshedVersion="8" minRefreshableVersion="3" recordCount="0" supportSubquery="1" supportAdvancedDrill="1" xr:uid="{0870138F-62BF-422D-B2FB-001F32A1B2F4}">
  <cacheSource type="external" connectionId="1"/>
  <cacheFields count="3">
    <cacheField name="[Table1].[Inspection results].[Inspection results]" caption="Inspection results" numFmtId="0" hierarchy="19" level="1">
      <sharedItems count="3">
        <s v="Fail"/>
        <s v="Pass"/>
        <s v="Pending"/>
      </sharedItems>
    </cacheField>
    <cacheField name="[Measures].[Count of Inspection results]" caption="Count of Inspection results" numFmtId="0" hierarchy="44" level="32767"/>
    <cacheField name="[Table1].[Transportation modes].[Transportation modes]" caption="Transportation modes" numFmtId="0" hierarchy="21" level="1">
      <sharedItems containsSemiMixedTypes="0" containsNonDate="0" containsString="0"/>
    </cacheField>
  </cacheFields>
  <cacheHierarchies count="49">
    <cacheHierarchy uniqueName="[Table1].[Product type]" caption="Product type" attribute="1" defaultMemberUniqueName="[Table1].[Product type].[All]" allUniqueName="[Table1].[Product type].[All]" dimensionUniqueName="[Table1]" displayFolder="" count="2" memberValueDatatype="130" unbalanced="0"/>
    <cacheHierarchy uniqueName="[Table1].[SKU]" caption="SKU" attribute="1" defaultMemberUniqueName="[Table1].[SKU].[All]" allUniqueName="[Table1].[SKU].[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Availability]" caption="Availability" attribute="1" defaultMemberUniqueName="[Table1].[Availability].[All]" allUniqueName="[Table1].[Availability].[All]" dimensionUniqueName="[Table1]" displayFolder="" count="0" memberValueDatatype="20" unbalanced="0"/>
    <cacheHierarchy uniqueName="[Table1].[Number of products sold]" caption="Number of products sold" attribute="1" defaultMemberUniqueName="[Table1].[Number of products sold].[All]" allUniqueName="[Table1].[Number of products sold].[All]" dimensionUniqueName="[Table1]" displayFolder="" count="0" memberValueDatatype="20" unbalanced="0"/>
    <cacheHierarchy uniqueName="[Table1].[Revenue generated]" caption="Revenue generated" attribute="1" defaultMemberUniqueName="[Table1].[Revenue generated].[All]" allUniqueName="[Table1].[Revenue generated].[All]" dimensionUniqueName="[Table1]" displayFolder="" count="0" memberValueDatatype="5" unbalanced="0"/>
    <cacheHierarchy uniqueName="[Table1].[Customer demographics]" caption="Customer demographics" attribute="1" defaultMemberUniqueName="[Table1].[Customer demographics].[All]" allUniqueName="[Table1].[Customer demographics].[All]" dimensionUniqueName="[Table1]" displayFolder="" count="0" memberValueDatatype="130" unbalanced="0"/>
    <cacheHierarchy uniqueName="[Table1].[Stock levels]" caption="Stock levels" attribute="1" defaultMemberUniqueName="[Table1].[Stock levels].[All]" allUniqueName="[Table1].[Stock levels].[All]" dimensionUniqueName="[Table1]" displayFolder="" count="0" memberValueDatatype="20" unbalanced="0"/>
    <cacheHierarchy uniqueName="[Table1].[Lead times]" caption="Lead times" attribute="1" defaultMemberUniqueName="[Table1].[Lead times].[All]" allUniqueName="[Table1].[Lead times].[All]" dimensionUniqueName="[Table1]" displayFolder="" count="0" memberValueDatatype="20" unbalanced="0"/>
    <cacheHierarchy uniqueName="[Table1].[Order quantities]" caption="Order quantities" attribute="1" defaultMemberUniqueName="[Table1].[Order quantities].[All]" allUniqueName="[Table1].[Order quantities].[All]" dimensionUniqueName="[Table1]" displayFolder="" count="0" memberValueDatatype="20" unbalanced="0"/>
    <cacheHierarchy uniqueName="[Table1].[Shipping times]" caption="Shipping times" attribute="1" defaultMemberUniqueName="[Table1].[Shipping times].[All]" allUniqueName="[Table1].[Shipping times].[All]" dimensionUniqueName="[Table1]" displayFolder="" count="0" memberValueDatatype="20" unbalanced="0"/>
    <cacheHierarchy uniqueName="[Table1].[Shipping carriers]" caption="Shipping carriers" attribute="1" defaultMemberUniqueName="[Table1].[Shipping carriers].[All]" allUniqueName="[Table1].[Shipping carriers].[All]" dimensionUniqueName="[Table1]" displayFolder="" count="0" memberValueDatatype="130" unbalanced="0"/>
    <cacheHierarchy uniqueName="[Table1].[Shipping costs]" caption="Shipping costs" attribute="1" defaultMemberUniqueName="[Table1].[Shipping costs].[All]" allUniqueName="[Table1].[Shipping costs].[All]" dimensionUniqueName="[Table1]" displayFolder="" count="0" memberValueDatatype="5" unbalanced="0"/>
    <cacheHierarchy uniqueName="[Table1].[Supplier name]" caption="Supplier name" attribute="1" defaultMemberUniqueName="[Table1].[Supplier name].[All]" allUniqueName="[Table1].[Supplier name].[All]" dimensionUniqueName="[Table1]" displayFolder="" count="2" memberValueDatatype="130" unbalanced="0"/>
    <cacheHierarchy uniqueName="[Table1].[Location]" caption="Location" attribute="1" defaultMemberUniqueName="[Table1].[Location].[All]" allUniqueName="[Table1].[Location].[All]" dimensionUniqueName="[Table1]" displayFolder="" count="2" memberValueDatatype="130" unbalanced="0"/>
    <cacheHierarchy uniqueName="[Table1].[Lead time]" caption="Lead time" attribute="1" defaultMemberUniqueName="[Table1].[Lead time].[All]" allUniqueName="[Table1].[Lead time].[All]" dimensionUniqueName="[Table1]" displayFolder="" count="0" memberValueDatatype="20" unbalanced="0"/>
    <cacheHierarchy uniqueName="[Table1].[Production volumes]" caption="Production volumes" attribute="1" defaultMemberUniqueName="[Table1].[Production volumes].[All]" allUniqueName="[Table1].[Production volumes].[All]" dimensionUniqueName="[Table1]" displayFolder="" count="0" memberValueDatatype="20" unbalanced="0"/>
    <cacheHierarchy uniqueName="[Table1].[Manufacturing lead time]" caption="Manufacturing lead time" attribute="1" defaultMemberUniqueName="[Table1].[Manufacturing lead time].[All]" allUniqueName="[Table1].[Manufacturing lead time].[All]" dimensionUniqueName="[Table1]" displayFolder="" count="0" memberValueDatatype="20" unbalanced="0"/>
    <cacheHierarchy uniqueName="[Table1].[Manufacturing costs]" caption="Manufacturing costs" attribute="1" defaultMemberUniqueName="[Table1].[Manufacturing costs].[All]" allUniqueName="[Table1].[Manufacturing costs].[All]" dimensionUniqueName="[Table1]" displayFolder="" count="0" memberValueDatatype="5" unbalanced="0"/>
    <cacheHierarchy uniqueName="[Table1].[Inspection results]" caption="Inspection results" attribute="1" defaultMemberUniqueName="[Table1].[Inspection results].[All]" allUniqueName="[Table1].[Inspection results].[All]" dimensionUniqueName="[Table1]" displayFolder="" count="2" memberValueDatatype="130" unbalanced="0">
      <fieldsUsage count="2">
        <fieldUsage x="-1"/>
        <fieldUsage x="0"/>
      </fieldsUsage>
    </cacheHierarchy>
    <cacheHierarchy uniqueName="[Table1].[Defect rates]" caption="Defect rates" attribute="1" defaultMemberUniqueName="[Table1].[Defect rates].[All]" allUniqueName="[Table1].[Defect rates].[All]" dimensionUniqueName="[Table1]" displayFolder="" count="0" memberValueDatatype="5" unbalanced="0"/>
    <cacheHierarchy uniqueName="[Table1].[Transportation modes]" caption="Transportation modes" attribute="1" defaultMemberUniqueName="[Table1].[Transportation modes].[All]" allUniqueName="[Table1].[Transportation modes].[All]" dimensionUniqueName="[Table1]" displayFolder="" count="2" memberValueDatatype="130" unbalanced="0">
      <fieldsUsage count="2">
        <fieldUsage x="-1"/>
        <fieldUsage x="2"/>
      </fieldsUsage>
    </cacheHierarchy>
    <cacheHierarchy uniqueName="[Table1].[Routes]" caption="Routes" attribute="1" defaultMemberUniqueName="[Table1].[Routes].[All]" allUniqueName="[Table1].[Routes].[All]" dimensionUniqueName="[Table1]" displayFolder="" count="0" memberValueDatatype="130" unbalanced="0"/>
    <cacheHierarchy uniqueName="[Table1].[Costs]" caption="Costs" attribute="1" defaultMemberUniqueName="[Table1].[Costs].[All]" allUniqueName="[Table1].[Cost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  Location   Profit Margin].[Location]" caption="Location" attribute="1" defaultMemberUniqueName="[Table1  Location   Profit Margin].[Location].[All]" allUniqueName="[Table1  Location   Profit Margin].[Location].[All]" dimensionUniqueName="[Table1  Location   Profit Margin]" displayFolder="" count="0" memberValueDatatype="130" unbalanced="0"/>
    <cacheHierarchy uniqueName="[Table1  Location   Profit Margin].[Lead time]" caption="Lead time" attribute="1" defaultMemberUniqueName="[Table1  Location   Profit Margin].[Lead time].[All]" allUniqueName="[Table1  Location   Profit Margin].[Lead time].[All]" dimensionUniqueName="[Table1  Location   Profit Margin]" displayFolder="" count="0" memberValueDatatype="20" unbalanced="0"/>
    <cacheHierarchy uniqueName="[Table1  Location   Profit Margin].[Production volumes]" caption="Production volumes" attribute="1" defaultMemberUniqueName="[Table1  Location   Profit Margin].[Production volumes].[All]" allUniqueName="[Table1  Location   Profit Margin].[Production volumes].[All]" dimensionUniqueName="[Table1  Location   Profit Margin]" displayFolder="" count="0" memberValueDatatype="20" unbalanced="0"/>
    <cacheHierarchy uniqueName="[Table1  Location   Profit Margin].[Manufacturing lead time]" caption="Manufacturing lead time" attribute="1" defaultMemberUniqueName="[Table1  Location   Profit Margin].[Manufacturing lead time].[All]" allUniqueName="[Table1  Location   Profit Margin].[Manufacturing lead time].[All]" dimensionUniqueName="[Table1  Location   Profit Margin]" displayFolder="" count="0" memberValueDatatype="20" unbalanced="0"/>
    <cacheHierarchy uniqueName="[Table1  Location   Profit Margin].[Manufacturing costs]" caption="Manufacturing costs" attribute="1" defaultMemberUniqueName="[Table1  Location   Profit Margin].[Manufacturing costs].[All]" allUniqueName="[Table1  Location   Profit Margin].[Manufacturing costs].[All]" dimensionUniqueName="[Table1  Location   Profit Margin]" displayFolder="" count="0" memberValueDatatype="5" unbalanced="0"/>
    <cacheHierarchy uniqueName="[Table1  Location   Profit Margin].[Inspection results]" caption="Inspection results" attribute="1" defaultMemberUniqueName="[Table1  Location   Profit Margin].[Inspection results].[All]" allUniqueName="[Table1  Location   Profit Margin].[Inspection results].[All]" dimensionUniqueName="[Table1  Location   Profit Margin]" displayFolder="" count="0" memberValueDatatype="130" unbalanced="0"/>
    <cacheHierarchy uniqueName="[Table1  Location   Profit Margin].[Defect rates]" caption="Defect rates" attribute="1" defaultMemberUniqueName="[Table1  Location   Profit Margin].[Defect rates].[All]" allUniqueName="[Table1  Location   Profit Margin].[Defect rates].[All]" dimensionUniqueName="[Table1  Location   Profit Margin]" displayFolder="" count="0" memberValueDatatype="5" unbalanced="0"/>
    <cacheHierarchy uniqueName="[Table1  Location   Profit Margin].[Transportation modes]" caption="Transportation modes" attribute="1" defaultMemberUniqueName="[Table1  Location   Profit Margin].[Transportation modes].[All]" allUniqueName="[Table1  Location   Profit Margin].[Transportation modes].[All]" dimensionUniqueName="[Table1  Location   Profit Margin]" displayFolder="" count="0" memberValueDatatype="130" unbalanced="0"/>
    <cacheHierarchy uniqueName="[Table1  Location   Profit Margin].[Routes]" caption="Routes" attribute="1" defaultMemberUniqueName="[Table1  Location   Profit Margin].[Routes].[All]" allUniqueName="[Table1  Location   Profit Margin].[Routes].[All]" dimensionUniqueName="[Table1  Location   Profit Margin]" displayFolder="" count="0" memberValueDatatype="130" unbalanced="0"/>
    <cacheHierarchy uniqueName="[Table1  Location   Profit Margin].[Costs]" caption="Costs" attribute="1" defaultMemberUniqueName="[Table1  Location   Profit Margin].[Costs].[All]" allUniqueName="[Table1  Location   Profit Margin].[Costs].[All]" dimensionUniqueName="[Table1  Location   Profit Margin]" displayFolder="" count="0" memberValueDatatype="5" unbalanced="0"/>
    <cacheHierarchy uniqueName="[Table1  Location   Profit Margin].[Profit]" caption="Profit" attribute="1" defaultMemberUniqueName="[Table1  Location   Profit Margin].[Profit].[All]" allUniqueName="[Table1  Location   Profit Margin].[Profit].[All]" dimensionUniqueName="[Table1  Location   Profit Margin]" displayFolder="" count="0" memberValueDatatype="5" unbalanced="0"/>
    <cacheHierarchy uniqueName="[Table1  Location   Profit Margin].[Profit Margin]" caption="Profit Margin" attribute="1" defaultMemberUniqueName="[Table1  Location   Profit Margin].[Profit Margin].[All]" allUniqueName="[Table1  Location   Profit Margin].[Profit Margin].[All]" dimensionUniqueName="[Table1  Location   Profit Margin]" displayFolder="" count="0" memberValueDatatype="5" unbalanced="0"/>
    <cacheHierarchy uniqueName="[Measures].[__XL_Count Table1  Location   Profit Margin]" caption="__XL_Count Table1  Location   Profit Margin" measure="1" displayFolder="" measureGroup="Table1  Location   Profit Margin"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generated]" caption="Sum of Revenue generated" measure="1" displayFolder="" measureGroup="Table1" count="0" hidden="1">
      <extLst>
        <ext xmlns:x15="http://schemas.microsoft.com/office/spreadsheetml/2010/11/main" uri="{B97F6D7D-B522-45F9-BDA1-12C45D357490}">
          <x15:cacheHierarchy aggregatedColumn="5"/>
        </ext>
      </extLst>
    </cacheHierarchy>
    <cacheHierarchy uniqueName="[Measures].[Sum of Defect rates]" caption="Sum of Defect rates" measure="1" displayFolder="" measureGroup="Table1" count="0" hidden="1">
      <extLst>
        <ext xmlns:x15="http://schemas.microsoft.com/office/spreadsheetml/2010/11/main" uri="{B97F6D7D-B522-45F9-BDA1-12C45D357490}">
          <x15:cacheHierarchy aggregatedColumn="20"/>
        </ext>
      </extLst>
    </cacheHierarchy>
    <cacheHierarchy uniqueName="[Measures].[Average of Defect rates]" caption="Average of Defect rates" measure="1" displayFolder="" measureGroup="Table1" count="0" hidden="1">
      <extLst>
        <ext xmlns:x15="http://schemas.microsoft.com/office/spreadsheetml/2010/11/main" uri="{B97F6D7D-B522-45F9-BDA1-12C45D357490}">
          <x15:cacheHierarchy aggregatedColumn="20"/>
        </ext>
      </extLst>
    </cacheHierarchy>
    <cacheHierarchy uniqueName="[Measures].[Count of Inspection results]" caption="Count of Inspection results" measure="1" displayFolder="" measureGroup="Table1  Location   Profit Margin"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Lead times]" caption="Sum of Lead times" measure="1" displayFolder="" measureGroup="Table1" count="0" hidden="1">
      <extLst>
        <ext xmlns:x15="http://schemas.microsoft.com/office/spreadsheetml/2010/11/main" uri="{B97F6D7D-B522-45F9-BDA1-12C45D357490}">
          <x15:cacheHierarchy aggregatedColumn="8"/>
        </ext>
      </extLst>
    </cacheHierarchy>
    <cacheHierarchy uniqueName="[Measures].[Sum of Shipping costs]" caption="Sum of Shipping costs" measure="1" displayFolder="" measureGroup="Table1" count="0" hidden="1">
      <extLst>
        <ext xmlns:x15="http://schemas.microsoft.com/office/spreadsheetml/2010/11/main" uri="{B97F6D7D-B522-45F9-BDA1-12C45D357490}">
          <x15:cacheHierarchy aggregatedColumn="12"/>
        </ext>
      </extLst>
    </cacheHierarchy>
    <cacheHierarchy uniqueName="[Measures].[Sum of Number of products sold]" caption="Sum of Number of products sold" measure="1" displayFolder="" measureGroup="Table1"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4"/>
        </ext>
      </extLst>
    </cacheHierarchy>
  </cacheHierarchies>
  <kpis count="0"/>
  <dimensions count="3">
    <dimension measure="1" name="Measures" uniqueName="[Measures]" caption="Measures"/>
    <dimension name="Table1" uniqueName="[Table1]" caption="Table1"/>
    <dimension name="Table1  Location   Profit Margin" uniqueName="[Table1  Location   Profit Margin]" caption="Table1  Location   Profit Margin"/>
  </dimensions>
  <measureGroups count="2">
    <measureGroup name="Table1" caption="Table1"/>
    <measureGroup name="Table1  Location   Profit Margin" caption="Table1  Location   Profit Margi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55.55527384259" backgroundQuery="1" createdVersion="8" refreshedVersion="8" minRefreshableVersion="3" recordCount="0" supportSubquery="1" supportAdvancedDrill="1" xr:uid="{921D197C-69A9-4651-9978-F7D6DC740D71}">
  <cacheSource type="external" connectionId="1"/>
  <cacheFields count="3">
    <cacheField name="[Table1].[Supplier name].[Supplier name]" caption="Supplier name" numFmtId="0" hierarchy="13" level="1">
      <sharedItems count="5">
        <s v="Supplier 1"/>
        <s v="Supplier 2"/>
        <s v="Supplier 3"/>
        <s v="Supplier 4"/>
        <s v="Supplier 5"/>
      </sharedItems>
    </cacheField>
    <cacheField name="[Measures].[Average of Defect rates]" caption="Average of Defect rates" numFmtId="0" hierarchy="43" level="32767"/>
    <cacheField name="[Table1].[Transportation modes].[Transportation modes]" caption="Transportation modes" numFmtId="0" hierarchy="21" level="1">
      <sharedItems containsSemiMixedTypes="0" containsNonDate="0" containsString="0"/>
    </cacheField>
  </cacheFields>
  <cacheHierarchies count="49">
    <cacheHierarchy uniqueName="[Table1].[Product type]" caption="Product type" attribute="1" defaultMemberUniqueName="[Table1].[Product type].[All]" allUniqueName="[Table1].[Product type].[All]" dimensionUniqueName="[Table1]" displayFolder="" count="2" memberValueDatatype="130" unbalanced="0"/>
    <cacheHierarchy uniqueName="[Table1].[SKU]" caption="SKU" attribute="1" defaultMemberUniqueName="[Table1].[SKU].[All]" allUniqueName="[Table1].[SKU].[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Availability]" caption="Availability" attribute="1" defaultMemberUniqueName="[Table1].[Availability].[All]" allUniqueName="[Table1].[Availability].[All]" dimensionUniqueName="[Table1]" displayFolder="" count="0" memberValueDatatype="20" unbalanced="0"/>
    <cacheHierarchy uniqueName="[Table1].[Number of products sold]" caption="Number of products sold" attribute="1" defaultMemberUniqueName="[Table1].[Number of products sold].[All]" allUniqueName="[Table1].[Number of products sold].[All]" dimensionUniqueName="[Table1]" displayFolder="" count="0" memberValueDatatype="20" unbalanced="0"/>
    <cacheHierarchy uniqueName="[Table1].[Revenue generated]" caption="Revenue generated" attribute="1" defaultMemberUniqueName="[Table1].[Revenue generated].[All]" allUniqueName="[Table1].[Revenue generated].[All]" dimensionUniqueName="[Table1]" displayFolder="" count="0" memberValueDatatype="5" unbalanced="0"/>
    <cacheHierarchy uniqueName="[Table1].[Customer demographics]" caption="Customer demographics" attribute="1" defaultMemberUniqueName="[Table1].[Customer demographics].[All]" allUniqueName="[Table1].[Customer demographics].[All]" dimensionUniqueName="[Table1]" displayFolder="" count="0" memberValueDatatype="130" unbalanced="0"/>
    <cacheHierarchy uniqueName="[Table1].[Stock levels]" caption="Stock levels" attribute="1" defaultMemberUniqueName="[Table1].[Stock levels].[All]" allUniqueName="[Table1].[Stock levels].[All]" dimensionUniqueName="[Table1]" displayFolder="" count="0" memberValueDatatype="20" unbalanced="0"/>
    <cacheHierarchy uniqueName="[Table1].[Lead times]" caption="Lead times" attribute="1" defaultMemberUniqueName="[Table1].[Lead times].[All]" allUniqueName="[Table1].[Lead times].[All]" dimensionUniqueName="[Table1]" displayFolder="" count="0" memberValueDatatype="20" unbalanced="0"/>
    <cacheHierarchy uniqueName="[Table1].[Order quantities]" caption="Order quantities" attribute="1" defaultMemberUniqueName="[Table1].[Order quantities].[All]" allUniqueName="[Table1].[Order quantities].[All]" dimensionUniqueName="[Table1]" displayFolder="" count="0" memberValueDatatype="20" unbalanced="0"/>
    <cacheHierarchy uniqueName="[Table1].[Shipping times]" caption="Shipping times" attribute="1" defaultMemberUniqueName="[Table1].[Shipping times].[All]" allUniqueName="[Table1].[Shipping times].[All]" dimensionUniqueName="[Table1]" displayFolder="" count="0" memberValueDatatype="20" unbalanced="0"/>
    <cacheHierarchy uniqueName="[Table1].[Shipping carriers]" caption="Shipping carriers" attribute="1" defaultMemberUniqueName="[Table1].[Shipping carriers].[All]" allUniqueName="[Table1].[Shipping carriers].[All]" dimensionUniqueName="[Table1]" displayFolder="" count="0" memberValueDatatype="130" unbalanced="0"/>
    <cacheHierarchy uniqueName="[Table1].[Shipping costs]" caption="Shipping costs" attribute="1" defaultMemberUniqueName="[Table1].[Shipping costs].[All]" allUniqueName="[Table1].[Shipping costs].[All]" dimensionUniqueName="[Table1]" displayFolder="" count="0" memberValueDatatype="5" unbalanced="0"/>
    <cacheHierarchy uniqueName="[Table1].[Supplier name]" caption="Supplier name" attribute="1" defaultMemberUniqueName="[Table1].[Supplier name].[All]" allUniqueName="[Table1].[Supplier name].[All]" dimensionUniqueName="[Table1]" displayFolder="" count="2" memberValueDatatype="130" unbalanced="0">
      <fieldsUsage count="2">
        <fieldUsage x="-1"/>
        <fieldUsage x="0"/>
      </fieldsUsage>
    </cacheHierarchy>
    <cacheHierarchy uniqueName="[Table1].[Location]" caption="Location" attribute="1" defaultMemberUniqueName="[Table1].[Location].[All]" allUniqueName="[Table1].[Location].[All]" dimensionUniqueName="[Table1]" displayFolder="" count="2" memberValueDatatype="130" unbalanced="0"/>
    <cacheHierarchy uniqueName="[Table1].[Lead time]" caption="Lead time" attribute="1" defaultMemberUniqueName="[Table1].[Lead time].[All]" allUniqueName="[Table1].[Lead time].[All]" dimensionUniqueName="[Table1]" displayFolder="" count="0" memberValueDatatype="20" unbalanced="0"/>
    <cacheHierarchy uniqueName="[Table1].[Production volumes]" caption="Production volumes" attribute="1" defaultMemberUniqueName="[Table1].[Production volumes].[All]" allUniqueName="[Table1].[Production volumes].[All]" dimensionUniqueName="[Table1]" displayFolder="" count="0" memberValueDatatype="20" unbalanced="0"/>
    <cacheHierarchy uniqueName="[Table1].[Manufacturing lead time]" caption="Manufacturing lead time" attribute="1" defaultMemberUniqueName="[Table1].[Manufacturing lead time].[All]" allUniqueName="[Table1].[Manufacturing lead time].[All]" dimensionUniqueName="[Table1]" displayFolder="" count="0" memberValueDatatype="20" unbalanced="0"/>
    <cacheHierarchy uniqueName="[Table1].[Manufacturing costs]" caption="Manufacturing costs" attribute="1" defaultMemberUniqueName="[Table1].[Manufacturing costs].[All]" allUniqueName="[Table1].[Manufacturing costs].[All]" dimensionUniqueName="[Table1]" displayFolder="" count="0" memberValueDatatype="5" unbalanced="0"/>
    <cacheHierarchy uniqueName="[Table1].[Inspection results]" caption="Inspection results" attribute="1" defaultMemberUniqueName="[Table1].[Inspection results].[All]" allUniqueName="[Table1].[Inspection results].[All]" dimensionUniqueName="[Table1]" displayFolder="" count="0" memberValueDatatype="130" unbalanced="0"/>
    <cacheHierarchy uniqueName="[Table1].[Defect rates]" caption="Defect rates" attribute="1" defaultMemberUniqueName="[Table1].[Defect rates].[All]" allUniqueName="[Table1].[Defect rates].[All]" dimensionUniqueName="[Table1]" displayFolder="" count="0" memberValueDatatype="5" unbalanced="0"/>
    <cacheHierarchy uniqueName="[Table1].[Transportation modes]" caption="Transportation modes" attribute="1" defaultMemberUniqueName="[Table1].[Transportation modes].[All]" allUniqueName="[Table1].[Transportation modes].[All]" dimensionUniqueName="[Table1]" displayFolder="" count="2" memberValueDatatype="130" unbalanced="0">
      <fieldsUsage count="2">
        <fieldUsage x="-1"/>
        <fieldUsage x="2"/>
      </fieldsUsage>
    </cacheHierarchy>
    <cacheHierarchy uniqueName="[Table1].[Routes]" caption="Routes" attribute="1" defaultMemberUniqueName="[Table1].[Routes].[All]" allUniqueName="[Table1].[Routes].[All]" dimensionUniqueName="[Table1]" displayFolder="" count="0" memberValueDatatype="130" unbalanced="0"/>
    <cacheHierarchy uniqueName="[Table1].[Costs]" caption="Costs" attribute="1" defaultMemberUniqueName="[Table1].[Costs].[All]" allUniqueName="[Table1].[Cost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  Location   Profit Margin].[Location]" caption="Location" attribute="1" defaultMemberUniqueName="[Table1  Location   Profit Margin].[Location].[All]" allUniqueName="[Table1  Location   Profit Margin].[Location].[All]" dimensionUniqueName="[Table1  Location   Profit Margin]" displayFolder="" count="0" memberValueDatatype="130" unbalanced="0"/>
    <cacheHierarchy uniqueName="[Table1  Location   Profit Margin].[Lead time]" caption="Lead time" attribute="1" defaultMemberUniqueName="[Table1  Location   Profit Margin].[Lead time].[All]" allUniqueName="[Table1  Location   Profit Margin].[Lead time].[All]" dimensionUniqueName="[Table1  Location   Profit Margin]" displayFolder="" count="0" memberValueDatatype="20" unbalanced="0"/>
    <cacheHierarchy uniqueName="[Table1  Location   Profit Margin].[Production volumes]" caption="Production volumes" attribute="1" defaultMemberUniqueName="[Table1  Location   Profit Margin].[Production volumes].[All]" allUniqueName="[Table1  Location   Profit Margin].[Production volumes].[All]" dimensionUniqueName="[Table1  Location   Profit Margin]" displayFolder="" count="0" memberValueDatatype="20" unbalanced="0"/>
    <cacheHierarchy uniqueName="[Table1  Location   Profit Margin].[Manufacturing lead time]" caption="Manufacturing lead time" attribute="1" defaultMemberUniqueName="[Table1  Location   Profit Margin].[Manufacturing lead time].[All]" allUniqueName="[Table1  Location   Profit Margin].[Manufacturing lead time].[All]" dimensionUniqueName="[Table1  Location   Profit Margin]" displayFolder="" count="0" memberValueDatatype="20" unbalanced="0"/>
    <cacheHierarchy uniqueName="[Table1  Location   Profit Margin].[Manufacturing costs]" caption="Manufacturing costs" attribute="1" defaultMemberUniqueName="[Table1  Location   Profit Margin].[Manufacturing costs].[All]" allUniqueName="[Table1  Location   Profit Margin].[Manufacturing costs].[All]" dimensionUniqueName="[Table1  Location   Profit Margin]" displayFolder="" count="0" memberValueDatatype="5" unbalanced="0"/>
    <cacheHierarchy uniqueName="[Table1  Location   Profit Margin].[Inspection results]" caption="Inspection results" attribute="1" defaultMemberUniqueName="[Table1  Location   Profit Margin].[Inspection results].[All]" allUniqueName="[Table1  Location   Profit Margin].[Inspection results].[All]" dimensionUniqueName="[Table1  Location   Profit Margin]" displayFolder="" count="0" memberValueDatatype="130" unbalanced="0"/>
    <cacheHierarchy uniqueName="[Table1  Location   Profit Margin].[Defect rates]" caption="Defect rates" attribute="1" defaultMemberUniqueName="[Table1  Location   Profit Margin].[Defect rates].[All]" allUniqueName="[Table1  Location   Profit Margin].[Defect rates].[All]" dimensionUniqueName="[Table1  Location   Profit Margin]" displayFolder="" count="0" memberValueDatatype="5" unbalanced="0"/>
    <cacheHierarchy uniqueName="[Table1  Location   Profit Margin].[Transportation modes]" caption="Transportation modes" attribute="1" defaultMemberUniqueName="[Table1  Location   Profit Margin].[Transportation modes].[All]" allUniqueName="[Table1  Location   Profit Margin].[Transportation modes].[All]" dimensionUniqueName="[Table1  Location   Profit Margin]" displayFolder="" count="0" memberValueDatatype="130" unbalanced="0"/>
    <cacheHierarchy uniqueName="[Table1  Location   Profit Margin].[Routes]" caption="Routes" attribute="1" defaultMemberUniqueName="[Table1  Location   Profit Margin].[Routes].[All]" allUniqueName="[Table1  Location   Profit Margin].[Routes].[All]" dimensionUniqueName="[Table1  Location   Profit Margin]" displayFolder="" count="0" memberValueDatatype="130" unbalanced="0"/>
    <cacheHierarchy uniqueName="[Table1  Location   Profit Margin].[Costs]" caption="Costs" attribute="1" defaultMemberUniqueName="[Table1  Location   Profit Margin].[Costs].[All]" allUniqueName="[Table1  Location   Profit Margin].[Costs].[All]" dimensionUniqueName="[Table1  Location   Profit Margin]" displayFolder="" count="0" memberValueDatatype="5" unbalanced="0"/>
    <cacheHierarchy uniqueName="[Table1  Location   Profit Margin].[Profit]" caption="Profit" attribute="1" defaultMemberUniqueName="[Table1  Location   Profit Margin].[Profit].[All]" allUniqueName="[Table1  Location   Profit Margin].[Profit].[All]" dimensionUniqueName="[Table1  Location   Profit Margin]" displayFolder="" count="0" memberValueDatatype="5" unbalanced="0"/>
    <cacheHierarchy uniqueName="[Table1  Location   Profit Margin].[Profit Margin]" caption="Profit Margin" attribute="1" defaultMemberUniqueName="[Table1  Location   Profit Margin].[Profit Margin].[All]" allUniqueName="[Table1  Location   Profit Margin].[Profit Margin].[All]" dimensionUniqueName="[Table1  Location   Profit Margin]" displayFolder="" count="0" memberValueDatatype="5" unbalanced="0"/>
    <cacheHierarchy uniqueName="[Measures].[__XL_Count Table1  Location   Profit Margin]" caption="__XL_Count Table1  Location   Profit Margin" measure="1" displayFolder="" measureGroup="Table1  Location   Profit Margin"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generated]" caption="Sum of Revenue generated" measure="1" displayFolder="" measureGroup="Table1" count="0" hidden="1">
      <extLst>
        <ext xmlns:x15="http://schemas.microsoft.com/office/spreadsheetml/2010/11/main" uri="{B97F6D7D-B522-45F9-BDA1-12C45D357490}">
          <x15:cacheHierarchy aggregatedColumn="5"/>
        </ext>
      </extLst>
    </cacheHierarchy>
    <cacheHierarchy uniqueName="[Measures].[Sum of Defect rates]" caption="Sum of Defect rates" measure="1" displayFolder="" measureGroup="Table1" count="0" hidden="1">
      <extLst>
        <ext xmlns:x15="http://schemas.microsoft.com/office/spreadsheetml/2010/11/main" uri="{B97F6D7D-B522-45F9-BDA1-12C45D357490}">
          <x15:cacheHierarchy aggregatedColumn="20"/>
        </ext>
      </extLst>
    </cacheHierarchy>
    <cacheHierarchy uniqueName="[Measures].[Average of Defect rates]" caption="Average of Defect rates"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Inspection results]" caption="Count of Inspection results" measure="1" displayFolder="" measureGroup="Table1  Location   Profit Margin" count="0" hidden="1">
      <extLst>
        <ext xmlns:x15="http://schemas.microsoft.com/office/spreadsheetml/2010/11/main" uri="{B97F6D7D-B522-45F9-BDA1-12C45D357490}">
          <x15:cacheHierarchy aggregatedColumn="31"/>
        </ext>
      </extLst>
    </cacheHierarchy>
    <cacheHierarchy uniqueName="[Measures].[Sum of Lead times]" caption="Sum of Lead times" measure="1" displayFolder="" measureGroup="Table1" count="0" hidden="1">
      <extLst>
        <ext xmlns:x15="http://schemas.microsoft.com/office/spreadsheetml/2010/11/main" uri="{B97F6D7D-B522-45F9-BDA1-12C45D357490}">
          <x15:cacheHierarchy aggregatedColumn="8"/>
        </ext>
      </extLst>
    </cacheHierarchy>
    <cacheHierarchy uniqueName="[Measures].[Sum of Shipping costs]" caption="Sum of Shipping costs" measure="1" displayFolder="" measureGroup="Table1" count="0" hidden="1">
      <extLst>
        <ext xmlns:x15="http://schemas.microsoft.com/office/spreadsheetml/2010/11/main" uri="{B97F6D7D-B522-45F9-BDA1-12C45D357490}">
          <x15:cacheHierarchy aggregatedColumn="12"/>
        </ext>
      </extLst>
    </cacheHierarchy>
    <cacheHierarchy uniqueName="[Measures].[Sum of Number of products sold]" caption="Sum of Number of products sold" measure="1" displayFolder="" measureGroup="Table1"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4"/>
        </ext>
      </extLst>
    </cacheHierarchy>
  </cacheHierarchies>
  <kpis count="0"/>
  <dimensions count="3">
    <dimension measure="1" name="Measures" uniqueName="[Measures]" caption="Measures"/>
    <dimension name="Table1" uniqueName="[Table1]" caption="Table1"/>
    <dimension name="Table1  Location   Profit Margin" uniqueName="[Table1  Location   Profit Margin]" caption="Table1  Location   Profit Margin"/>
  </dimensions>
  <measureGroups count="2">
    <measureGroup name="Table1" caption="Table1"/>
    <measureGroup name="Table1  Location   Profit Margin" caption="Table1  Location   Profit Margi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55.555274421298" backgroundQuery="1" createdVersion="8" refreshedVersion="8" minRefreshableVersion="3" recordCount="0" supportSubquery="1" supportAdvancedDrill="1" xr:uid="{439E0DDD-05A1-4AF0-B978-CE54C50BF4D7}">
  <cacheSource type="external" connectionId="1"/>
  <cacheFields count="2">
    <cacheField name="[Measures].[Sum of Revenue generated]" caption="Sum of Revenue generated" numFmtId="0" hierarchy="41" level="32767"/>
    <cacheField name="[Table1].[Transportation modes].[Transportation modes]" caption="Transportation modes" numFmtId="0" hierarchy="21" level="1">
      <sharedItems containsSemiMixedTypes="0" containsNonDate="0" containsString="0"/>
    </cacheField>
  </cacheFields>
  <cacheHierarchies count="49">
    <cacheHierarchy uniqueName="[Table1].[Product type]" caption="Product type" attribute="1" defaultMemberUniqueName="[Table1].[Product type].[All]" allUniqueName="[Table1].[Product type].[All]" dimensionUniqueName="[Table1]" displayFolder="" count="2" memberValueDatatype="130" unbalanced="0"/>
    <cacheHierarchy uniqueName="[Table1].[SKU]" caption="SKU" attribute="1" defaultMemberUniqueName="[Table1].[SKU].[All]" allUniqueName="[Table1].[SKU].[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Availability]" caption="Availability" attribute="1" defaultMemberUniqueName="[Table1].[Availability].[All]" allUniqueName="[Table1].[Availability].[All]" dimensionUniqueName="[Table1]" displayFolder="" count="0" memberValueDatatype="20" unbalanced="0"/>
    <cacheHierarchy uniqueName="[Table1].[Number of products sold]" caption="Number of products sold" attribute="1" defaultMemberUniqueName="[Table1].[Number of products sold].[All]" allUniqueName="[Table1].[Number of products sold].[All]" dimensionUniqueName="[Table1]" displayFolder="" count="0" memberValueDatatype="20" unbalanced="0"/>
    <cacheHierarchy uniqueName="[Table1].[Revenue generated]" caption="Revenue generated" attribute="1" defaultMemberUniqueName="[Table1].[Revenue generated].[All]" allUniqueName="[Table1].[Revenue generated].[All]" dimensionUniqueName="[Table1]" displayFolder="" count="0" memberValueDatatype="5" unbalanced="0"/>
    <cacheHierarchy uniqueName="[Table1].[Customer demographics]" caption="Customer demographics" attribute="1" defaultMemberUniqueName="[Table1].[Customer demographics].[All]" allUniqueName="[Table1].[Customer demographics].[All]" dimensionUniqueName="[Table1]" displayFolder="" count="0" memberValueDatatype="130" unbalanced="0"/>
    <cacheHierarchy uniqueName="[Table1].[Stock levels]" caption="Stock levels" attribute="1" defaultMemberUniqueName="[Table1].[Stock levels].[All]" allUniqueName="[Table1].[Stock levels].[All]" dimensionUniqueName="[Table1]" displayFolder="" count="0" memberValueDatatype="20" unbalanced="0"/>
    <cacheHierarchy uniqueName="[Table1].[Lead times]" caption="Lead times" attribute="1" defaultMemberUniqueName="[Table1].[Lead times].[All]" allUniqueName="[Table1].[Lead times].[All]" dimensionUniqueName="[Table1]" displayFolder="" count="0" memberValueDatatype="20" unbalanced="0"/>
    <cacheHierarchy uniqueName="[Table1].[Order quantities]" caption="Order quantities" attribute="1" defaultMemberUniqueName="[Table1].[Order quantities].[All]" allUniqueName="[Table1].[Order quantities].[All]" dimensionUniqueName="[Table1]" displayFolder="" count="0" memberValueDatatype="20" unbalanced="0"/>
    <cacheHierarchy uniqueName="[Table1].[Shipping times]" caption="Shipping times" attribute="1" defaultMemberUniqueName="[Table1].[Shipping times].[All]" allUniqueName="[Table1].[Shipping times].[All]" dimensionUniqueName="[Table1]" displayFolder="" count="0" memberValueDatatype="20" unbalanced="0"/>
    <cacheHierarchy uniqueName="[Table1].[Shipping carriers]" caption="Shipping carriers" attribute="1" defaultMemberUniqueName="[Table1].[Shipping carriers].[All]" allUniqueName="[Table1].[Shipping carriers].[All]" dimensionUniqueName="[Table1]" displayFolder="" count="0" memberValueDatatype="130" unbalanced="0"/>
    <cacheHierarchy uniqueName="[Table1].[Shipping costs]" caption="Shipping costs" attribute="1" defaultMemberUniqueName="[Table1].[Shipping costs].[All]" allUniqueName="[Table1].[Shipping costs].[All]" dimensionUniqueName="[Table1]" displayFolder="" count="0" memberValueDatatype="5" unbalanced="0"/>
    <cacheHierarchy uniqueName="[Table1].[Supplier name]" caption="Supplier name" attribute="1" defaultMemberUniqueName="[Table1].[Supplier name].[All]" allUniqueName="[Table1].[Supplier name].[All]" dimensionUniqueName="[Table1]" displayFolder="" count="2" memberValueDatatype="130" unbalanced="0"/>
    <cacheHierarchy uniqueName="[Table1].[Location]" caption="Location" attribute="1" defaultMemberUniqueName="[Table1].[Location].[All]" allUniqueName="[Table1].[Location].[All]" dimensionUniqueName="[Table1]" displayFolder="" count="2" memberValueDatatype="130" unbalanced="0"/>
    <cacheHierarchy uniqueName="[Table1].[Lead time]" caption="Lead time" attribute="1" defaultMemberUniqueName="[Table1].[Lead time].[All]" allUniqueName="[Table1].[Lead time].[All]" dimensionUniqueName="[Table1]" displayFolder="" count="0" memberValueDatatype="20" unbalanced="0"/>
    <cacheHierarchy uniqueName="[Table1].[Production volumes]" caption="Production volumes" attribute="1" defaultMemberUniqueName="[Table1].[Production volumes].[All]" allUniqueName="[Table1].[Production volumes].[All]" dimensionUniqueName="[Table1]" displayFolder="" count="0" memberValueDatatype="20" unbalanced="0"/>
    <cacheHierarchy uniqueName="[Table1].[Manufacturing lead time]" caption="Manufacturing lead time" attribute="1" defaultMemberUniqueName="[Table1].[Manufacturing lead time].[All]" allUniqueName="[Table1].[Manufacturing lead time].[All]" dimensionUniqueName="[Table1]" displayFolder="" count="0" memberValueDatatype="20" unbalanced="0"/>
    <cacheHierarchy uniqueName="[Table1].[Manufacturing costs]" caption="Manufacturing costs" attribute="1" defaultMemberUniqueName="[Table1].[Manufacturing costs].[All]" allUniqueName="[Table1].[Manufacturing costs].[All]" dimensionUniqueName="[Table1]" displayFolder="" count="0" memberValueDatatype="5" unbalanced="0"/>
    <cacheHierarchy uniqueName="[Table1].[Inspection results]" caption="Inspection results" attribute="1" defaultMemberUniqueName="[Table1].[Inspection results].[All]" allUniqueName="[Table1].[Inspection results].[All]" dimensionUniqueName="[Table1]" displayFolder="" count="0" memberValueDatatype="130" unbalanced="0"/>
    <cacheHierarchy uniqueName="[Table1].[Defect rates]" caption="Defect rates" attribute="1" defaultMemberUniqueName="[Table1].[Defect rates].[All]" allUniqueName="[Table1].[Defect rates].[All]" dimensionUniqueName="[Table1]" displayFolder="" count="0" memberValueDatatype="5" unbalanced="0"/>
    <cacheHierarchy uniqueName="[Table1].[Transportation modes]" caption="Transportation modes" attribute="1" defaultMemberUniqueName="[Table1].[Transportation modes].[All]" allUniqueName="[Table1].[Transportation modes].[All]" dimensionUniqueName="[Table1]" displayFolder="" count="2" memberValueDatatype="130" unbalanced="0">
      <fieldsUsage count="2">
        <fieldUsage x="-1"/>
        <fieldUsage x="1"/>
      </fieldsUsage>
    </cacheHierarchy>
    <cacheHierarchy uniqueName="[Table1].[Routes]" caption="Routes" attribute="1" defaultMemberUniqueName="[Table1].[Routes].[All]" allUniqueName="[Table1].[Routes].[All]" dimensionUniqueName="[Table1]" displayFolder="" count="0" memberValueDatatype="130" unbalanced="0"/>
    <cacheHierarchy uniqueName="[Table1].[Costs]" caption="Costs" attribute="1" defaultMemberUniqueName="[Table1].[Costs].[All]" allUniqueName="[Table1].[Cost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  Location   Profit Margin].[Location]" caption="Location" attribute="1" defaultMemberUniqueName="[Table1  Location   Profit Margin].[Location].[All]" allUniqueName="[Table1  Location   Profit Margin].[Location].[All]" dimensionUniqueName="[Table1  Location   Profit Margin]" displayFolder="" count="0" memberValueDatatype="130" unbalanced="0"/>
    <cacheHierarchy uniqueName="[Table1  Location   Profit Margin].[Lead time]" caption="Lead time" attribute="1" defaultMemberUniqueName="[Table1  Location   Profit Margin].[Lead time].[All]" allUniqueName="[Table1  Location   Profit Margin].[Lead time].[All]" dimensionUniqueName="[Table1  Location   Profit Margin]" displayFolder="" count="0" memberValueDatatype="20" unbalanced="0"/>
    <cacheHierarchy uniqueName="[Table1  Location   Profit Margin].[Production volumes]" caption="Production volumes" attribute="1" defaultMemberUniqueName="[Table1  Location   Profit Margin].[Production volumes].[All]" allUniqueName="[Table1  Location   Profit Margin].[Production volumes].[All]" dimensionUniqueName="[Table1  Location   Profit Margin]" displayFolder="" count="0" memberValueDatatype="20" unbalanced="0"/>
    <cacheHierarchy uniqueName="[Table1  Location   Profit Margin].[Manufacturing lead time]" caption="Manufacturing lead time" attribute="1" defaultMemberUniqueName="[Table1  Location   Profit Margin].[Manufacturing lead time].[All]" allUniqueName="[Table1  Location   Profit Margin].[Manufacturing lead time].[All]" dimensionUniqueName="[Table1  Location   Profit Margin]" displayFolder="" count="0" memberValueDatatype="20" unbalanced="0"/>
    <cacheHierarchy uniqueName="[Table1  Location   Profit Margin].[Manufacturing costs]" caption="Manufacturing costs" attribute="1" defaultMemberUniqueName="[Table1  Location   Profit Margin].[Manufacturing costs].[All]" allUniqueName="[Table1  Location   Profit Margin].[Manufacturing costs].[All]" dimensionUniqueName="[Table1  Location   Profit Margin]" displayFolder="" count="0" memberValueDatatype="5" unbalanced="0"/>
    <cacheHierarchy uniqueName="[Table1  Location   Profit Margin].[Inspection results]" caption="Inspection results" attribute="1" defaultMemberUniqueName="[Table1  Location   Profit Margin].[Inspection results].[All]" allUniqueName="[Table1  Location   Profit Margin].[Inspection results].[All]" dimensionUniqueName="[Table1  Location   Profit Margin]" displayFolder="" count="0" memberValueDatatype="130" unbalanced="0"/>
    <cacheHierarchy uniqueName="[Table1  Location   Profit Margin].[Defect rates]" caption="Defect rates" attribute="1" defaultMemberUniqueName="[Table1  Location   Profit Margin].[Defect rates].[All]" allUniqueName="[Table1  Location   Profit Margin].[Defect rates].[All]" dimensionUniqueName="[Table1  Location   Profit Margin]" displayFolder="" count="0" memberValueDatatype="5" unbalanced="0"/>
    <cacheHierarchy uniqueName="[Table1  Location   Profit Margin].[Transportation modes]" caption="Transportation modes" attribute="1" defaultMemberUniqueName="[Table1  Location   Profit Margin].[Transportation modes].[All]" allUniqueName="[Table1  Location   Profit Margin].[Transportation modes].[All]" dimensionUniqueName="[Table1  Location   Profit Margin]" displayFolder="" count="0" memberValueDatatype="130" unbalanced="0"/>
    <cacheHierarchy uniqueName="[Table1  Location   Profit Margin].[Routes]" caption="Routes" attribute="1" defaultMemberUniqueName="[Table1  Location   Profit Margin].[Routes].[All]" allUniqueName="[Table1  Location   Profit Margin].[Routes].[All]" dimensionUniqueName="[Table1  Location   Profit Margin]" displayFolder="" count="0" memberValueDatatype="130" unbalanced="0"/>
    <cacheHierarchy uniqueName="[Table1  Location   Profit Margin].[Costs]" caption="Costs" attribute="1" defaultMemberUniqueName="[Table1  Location   Profit Margin].[Costs].[All]" allUniqueName="[Table1  Location   Profit Margin].[Costs].[All]" dimensionUniqueName="[Table1  Location   Profit Margin]" displayFolder="" count="0" memberValueDatatype="5" unbalanced="0"/>
    <cacheHierarchy uniqueName="[Table1  Location   Profit Margin].[Profit]" caption="Profit" attribute="1" defaultMemberUniqueName="[Table1  Location   Profit Margin].[Profit].[All]" allUniqueName="[Table1  Location   Profit Margin].[Profit].[All]" dimensionUniqueName="[Table1  Location   Profit Margin]" displayFolder="" count="0" memberValueDatatype="5" unbalanced="0"/>
    <cacheHierarchy uniqueName="[Table1  Location   Profit Margin].[Profit Margin]" caption="Profit Margin" attribute="1" defaultMemberUniqueName="[Table1  Location   Profit Margin].[Profit Margin].[All]" allUniqueName="[Table1  Location   Profit Margin].[Profit Margin].[All]" dimensionUniqueName="[Table1  Location   Profit Margin]" displayFolder="" count="0" memberValueDatatype="5" unbalanced="0"/>
    <cacheHierarchy uniqueName="[Measures].[__XL_Count Table1  Location   Profit Margin]" caption="__XL_Count Table1  Location   Profit Margin" measure="1" displayFolder="" measureGroup="Table1  Location   Profit Margin"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generated]" caption="Sum of Revenue generated" measure="1" displayFolder="" measureGroup="Table1"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Defect rates]" caption="Sum of Defect rates" measure="1" displayFolder="" measureGroup="Table1" count="0" hidden="1">
      <extLst>
        <ext xmlns:x15="http://schemas.microsoft.com/office/spreadsheetml/2010/11/main" uri="{B97F6D7D-B522-45F9-BDA1-12C45D357490}">
          <x15:cacheHierarchy aggregatedColumn="20"/>
        </ext>
      </extLst>
    </cacheHierarchy>
    <cacheHierarchy uniqueName="[Measures].[Average of Defect rates]" caption="Average of Defect rates" measure="1" displayFolder="" measureGroup="Table1" count="0" hidden="1">
      <extLst>
        <ext xmlns:x15="http://schemas.microsoft.com/office/spreadsheetml/2010/11/main" uri="{B97F6D7D-B522-45F9-BDA1-12C45D357490}">
          <x15:cacheHierarchy aggregatedColumn="20"/>
        </ext>
      </extLst>
    </cacheHierarchy>
    <cacheHierarchy uniqueName="[Measures].[Count of Inspection results]" caption="Count of Inspection results" measure="1" displayFolder="" measureGroup="Table1  Location   Profit Margin" count="0" hidden="1">
      <extLst>
        <ext xmlns:x15="http://schemas.microsoft.com/office/spreadsheetml/2010/11/main" uri="{B97F6D7D-B522-45F9-BDA1-12C45D357490}">
          <x15:cacheHierarchy aggregatedColumn="31"/>
        </ext>
      </extLst>
    </cacheHierarchy>
    <cacheHierarchy uniqueName="[Measures].[Sum of Lead times]" caption="Sum of Lead times" measure="1" displayFolder="" measureGroup="Table1" count="0" hidden="1">
      <extLst>
        <ext xmlns:x15="http://schemas.microsoft.com/office/spreadsheetml/2010/11/main" uri="{B97F6D7D-B522-45F9-BDA1-12C45D357490}">
          <x15:cacheHierarchy aggregatedColumn="8"/>
        </ext>
      </extLst>
    </cacheHierarchy>
    <cacheHierarchy uniqueName="[Measures].[Sum of Shipping costs]" caption="Sum of Shipping costs" measure="1" displayFolder="" measureGroup="Table1" count="0" hidden="1">
      <extLst>
        <ext xmlns:x15="http://schemas.microsoft.com/office/spreadsheetml/2010/11/main" uri="{B97F6D7D-B522-45F9-BDA1-12C45D357490}">
          <x15:cacheHierarchy aggregatedColumn="12"/>
        </ext>
      </extLst>
    </cacheHierarchy>
    <cacheHierarchy uniqueName="[Measures].[Sum of Number of products sold]" caption="Sum of Number of products sold" measure="1" displayFolder="" measureGroup="Table1"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4"/>
        </ext>
      </extLst>
    </cacheHierarchy>
  </cacheHierarchies>
  <kpis count="0"/>
  <dimensions count="3">
    <dimension measure="1" name="Measures" uniqueName="[Measures]" caption="Measures"/>
    <dimension name="Table1" uniqueName="[Table1]" caption="Table1"/>
    <dimension name="Table1  Location   Profit Margin" uniqueName="[Table1  Location   Profit Margin]" caption="Table1  Location   Profit Margin"/>
  </dimensions>
  <measureGroups count="2">
    <measureGroup name="Table1" caption="Table1"/>
    <measureGroup name="Table1  Location   Profit Margin" caption="Table1  Location   Profit Margi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55.555274768521" backgroundQuery="1" createdVersion="8" refreshedVersion="8" minRefreshableVersion="3" recordCount="0" supportSubquery="1" supportAdvancedDrill="1" xr:uid="{102C813C-9096-4E65-8D12-97515B1575A1}">
  <cacheSource type="external" connectionId="1"/>
  <cacheFields count="2">
    <cacheField name="[Measures].[Sum of Lead times]" caption="Sum of Lead times" numFmtId="0" hierarchy="45" level="32767"/>
    <cacheField name="[Table1].[Transportation modes].[Transportation modes]" caption="Transportation modes" numFmtId="0" hierarchy="21" level="1">
      <sharedItems containsSemiMixedTypes="0" containsNonDate="0" containsString="0"/>
    </cacheField>
  </cacheFields>
  <cacheHierarchies count="49">
    <cacheHierarchy uniqueName="[Table1].[Product type]" caption="Product type" attribute="1" defaultMemberUniqueName="[Table1].[Product type].[All]" allUniqueName="[Table1].[Product type].[All]" dimensionUniqueName="[Table1]" displayFolder="" count="2" memberValueDatatype="130" unbalanced="0"/>
    <cacheHierarchy uniqueName="[Table1].[SKU]" caption="SKU" attribute="1" defaultMemberUniqueName="[Table1].[SKU].[All]" allUniqueName="[Table1].[SKU].[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Availability]" caption="Availability" attribute="1" defaultMemberUniqueName="[Table1].[Availability].[All]" allUniqueName="[Table1].[Availability].[All]" dimensionUniqueName="[Table1]" displayFolder="" count="0" memberValueDatatype="20" unbalanced="0"/>
    <cacheHierarchy uniqueName="[Table1].[Number of products sold]" caption="Number of products sold" attribute="1" defaultMemberUniqueName="[Table1].[Number of products sold].[All]" allUniqueName="[Table1].[Number of products sold].[All]" dimensionUniqueName="[Table1]" displayFolder="" count="0" memberValueDatatype="20" unbalanced="0"/>
    <cacheHierarchy uniqueName="[Table1].[Revenue generated]" caption="Revenue generated" attribute="1" defaultMemberUniqueName="[Table1].[Revenue generated].[All]" allUniqueName="[Table1].[Revenue generated].[All]" dimensionUniqueName="[Table1]" displayFolder="" count="0" memberValueDatatype="5" unbalanced="0"/>
    <cacheHierarchy uniqueName="[Table1].[Customer demographics]" caption="Customer demographics" attribute="1" defaultMemberUniqueName="[Table1].[Customer demographics].[All]" allUniqueName="[Table1].[Customer demographics].[All]" dimensionUniqueName="[Table1]" displayFolder="" count="0" memberValueDatatype="130" unbalanced="0"/>
    <cacheHierarchy uniqueName="[Table1].[Stock levels]" caption="Stock levels" attribute="1" defaultMemberUniqueName="[Table1].[Stock levels].[All]" allUniqueName="[Table1].[Stock levels].[All]" dimensionUniqueName="[Table1]" displayFolder="" count="0" memberValueDatatype="20" unbalanced="0"/>
    <cacheHierarchy uniqueName="[Table1].[Lead times]" caption="Lead times" attribute="1" defaultMemberUniqueName="[Table1].[Lead times].[All]" allUniqueName="[Table1].[Lead times].[All]" dimensionUniqueName="[Table1]" displayFolder="" count="0" memberValueDatatype="20" unbalanced="0"/>
    <cacheHierarchy uniqueName="[Table1].[Order quantities]" caption="Order quantities" attribute="1" defaultMemberUniqueName="[Table1].[Order quantities].[All]" allUniqueName="[Table1].[Order quantities].[All]" dimensionUniqueName="[Table1]" displayFolder="" count="0" memberValueDatatype="20" unbalanced="0"/>
    <cacheHierarchy uniqueName="[Table1].[Shipping times]" caption="Shipping times" attribute="1" defaultMemberUniqueName="[Table1].[Shipping times].[All]" allUniqueName="[Table1].[Shipping times].[All]" dimensionUniqueName="[Table1]" displayFolder="" count="0" memberValueDatatype="20" unbalanced="0"/>
    <cacheHierarchy uniqueName="[Table1].[Shipping carriers]" caption="Shipping carriers" attribute="1" defaultMemberUniqueName="[Table1].[Shipping carriers].[All]" allUniqueName="[Table1].[Shipping carriers].[All]" dimensionUniqueName="[Table1]" displayFolder="" count="0" memberValueDatatype="130" unbalanced="0"/>
    <cacheHierarchy uniqueName="[Table1].[Shipping costs]" caption="Shipping costs" attribute="1" defaultMemberUniqueName="[Table1].[Shipping costs].[All]" allUniqueName="[Table1].[Shipping costs].[All]" dimensionUniqueName="[Table1]" displayFolder="" count="0" memberValueDatatype="5" unbalanced="0"/>
    <cacheHierarchy uniqueName="[Table1].[Supplier name]" caption="Supplier name" attribute="1" defaultMemberUniqueName="[Table1].[Supplier name].[All]" allUniqueName="[Table1].[Supplier name].[All]" dimensionUniqueName="[Table1]" displayFolder="" count="2" memberValueDatatype="130" unbalanced="0"/>
    <cacheHierarchy uniqueName="[Table1].[Location]" caption="Location" attribute="1" defaultMemberUniqueName="[Table1].[Location].[All]" allUniqueName="[Table1].[Location].[All]" dimensionUniqueName="[Table1]" displayFolder="" count="2" memberValueDatatype="130" unbalanced="0"/>
    <cacheHierarchy uniqueName="[Table1].[Lead time]" caption="Lead time" attribute="1" defaultMemberUniqueName="[Table1].[Lead time].[All]" allUniqueName="[Table1].[Lead time].[All]" dimensionUniqueName="[Table1]" displayFolder="" count="0" memberValueDatatype="20" unbalanced="0"/>
    <cacheHierarchy uniqueName="[Table1].[Production volumes]" caption="Production volumes" attribute="1" defaultMemberUniqueName="[Table1].[Production volumes].[All]" allUniqueName="[Table1].[Production volumes].[All]" dimensionUniqueName="[Table1]" displayFolder="" count="0" memberValueDatatype="20" unbalanced="0"/>
    <cacheHierarchy uniqueName="[Table1].[Manufacturing lead time]" caption="Manufacturing lead time" attribute="1" defaultMemberUniqueName="[Table1].[Manufacturing lead time].[All]" allUniqueName="[Table1].[Manufacturing lead time].[All]" dimensionUniqueName="[Table1]" displayFolder="" count="0" memberValueDatatype="20" unbalanced="0"/>
    <cacheHierarchy uniqueName="[Table1].[Manufacturing costs]" caption="Manufacturing costs" attribute="1" defaultMemberUniqueName="[Table1].[Manufacturing costs].[All]" allUniqueName="[Table1].[Manufacturing costs].[All]" dimensionUniqueName="[Table1]" displayFolder="" count="0" memberValueDatatype="5" unbalanced="0"/>
    <cacheHierarchy uniqueName="[Table1].[Inspection results]" caption="Inspection results" attribute="1" defaultMemberUniqueName="[Table1].[Inspection results].[All]" allUniqueName="[Table1].[Inspection results].[All]" dimensionUniqueName="[Table1]" displayFolder="" count="0" memberValueDatatype="130" unbalanced="0"/>
    <cacheHierarchy uniqueName="[Table1].[Defect rates]" caption="Defect rates" attribute="1" defaultMemberUniqueName="[Table1].[Defect rates].[All]" allUniqueName="[Table1].[Defect rates].[All]" dimensionUniqueName="[Table1]" displayFolder="" count="0" memberValueDatatype="5" unbalanced="0"/>
    <cacheHierarchy uniqueName="[Table1].[Transportation modes]" caption="Transportation modes" attribute="1" defaultMemberUniqueName="[Table1].[Transportation modes].[All]" allUniqueName="[Table1].[Transportation modes].[All]" dimensionUniqueName="[Table1]" displayFolder="" count="2" memberValueDatatype="130" unbalanced="0">
      <fieldsUsage count="2">
        <fieldUsage x="-1"/>
        <fieldUsage x="1"/>
      </fieldsUsage>
    </cacheHierarchy>
    <cacheHierarchy uniqueName="[Table1].[Routes]" caption="Routes" attribute="1" defaultMemberUniqueName="[Table1].[Routes].[All]" allUniqueName="[Table1].[Routes].[All]" dimensionUniqueName="[Table1]" displayFolder="" count="0" memberValueDatatype="130" unbalanced="0"/>
    <cacheHierarchy uniqueName="[Table1].[Costs]" caption="Costs" attribute="1" defaultMemberUniqueName="[Table1].[Costs].[All]" allUniqueName="[Table1].[Cost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  Location   Profit Margin].[Location]" caption="Location" attribute="1" defaultMemberUniqueName="[Table1  Location   Profit Margin].[Location].[All]" allUniqueName="[Table1  Location   Profit Margin].[Location].[All]" dimensionUniqueName="[Table1  Location   Profit Margin]" displayFolder="" count="0" memberValueDatatype="130" unbalanced="0"/>
    <cacheHierarchy uniqueName="[Table1  Location   Profit Margin].[Lead time]" caption="Lead time" attribute="1" defaultMemberUniqueName="[Table1  Location   Profit Margin].[Lead time].[All]" allUniqueName="[Table1  Location   Profit Margin].[Lead time].[All]" dimensionUniqueName="[Table1  Location   Profit Margin]" displayFolder="" count="0" memberValueDatatype="20" unbalanced="0"/>
    <cacheHierarchy uniqueName="[Table1  Location   Profit Margin].[Production volumes]" caption="Production volumes" attribute="1" defaultMemberUniqueName="[Table1  Location   Profit Margin].[Production volumes].[All]" allUniqueName="[Table1  Location   Profit Margin].[Production volumes].[All]" dimensionUniqueName="[Table1  Location   Profit Margin]" displayFolder="" count="0" memberValueDatatype="20" unbalanced="0"/>
    <cacheHierarchy uniqueName="[Table1  Location   Profit Margin].[Manufacturing lead time]" caption="Manufacturing lead time" attribute="1" defaultMemberUniqueName="[Table1  Location   Profit Margin].[Manufacturing lead time].[All]" allUniqueName="[Table1  Location   Profit Margin].[Manufacturing lead time].[All]" dimensionUniqueName="[Table1  Location   Profit Margin]" displayFolder="" count="0" memberValueDatatype="20" unbalanced="0"/>
    <cacheHierarchy uniqueName="[Table1  Location   Profit Margin].[Manufacturing costs]" caption="Manufacturing costs" attribute="1" defaultMemberUniqueName="[Table1  Location   Profit Margin].[Manufacturing costs].[All]" allUniqueName="[Table1  Location   Profit Margin].[Manufacturing costs].[All]" dimensionUniqueName="[Table1  Location   Profit Margin]" displayFolder="" count="0" memberValueDatatype="5" unbalanced="0"/>
    <cacheHierarchy uniqueName="[Table1  Location   Profit Margin].[Inspection results]" caption="Inspection results" attribute="1" defaultMemberUniqueName="[Table1  Location   Profit Margin].[Inspection results].[All]" allUniqueName="[Table1  Location   Profit Margin].[Inspection results].[All]" dimensionUniqueName="[Table1  Location   Profit Margin]" displayFolder="" count="0" memberValueDatatype="130" unbalanced="0"/>
    <cacheHierarchy uniqueName="[Table1  Location   Profit Margin].[Defect rates]" caption="Defect rates" attribute="1" defaultMemberUniqueName="[Table1  Location   Profit Margin].[Defect rates].[All]" allUniqueName="[Table1  Location   Profit Margin].[Defect rates].[All]" dimensionUniqueName="[Table1  Location   Profit Margin]" displayFolder="" count="0" memberValueDatatype="5" unbalanced="0"/>
    <cacheHierarchy uniqueName="[Table1  Location   Profit Margin].[Transportation modes]" caption="Transportation modes" attribute="1" defaultMemberUniqueName="[Table1  Location   Profit Margin].[Transportation modes].[All]" allUniqueName="[Table1  Location   Profit Margin].[Transportation modes].[All]" dimensionUniqueName="[Table1  Location   Profit Margin]" displayFolder="" count="0" memberValueDatatype="130" unbalanced="0"/>
    <cacheHierarchy uniqueName="[Table1  Location   Profit Margin].[Routes]" caption="Routes" attribute="1" defaultMemberUniqueName="[Table1  Location   Profit Margin].[Routes].[All]" allUniqueName="[Table1  Location   Profit Margin].[Routes].[All]" dimensionUniqueName="[Table1  Location   Profit Margin]" displayFolder="" count="0" memberValueDatatype="130" unbalanced="0"/>
    <cacheHierarchy uniqueName="[Table1  Location   Profit Margin].[Costs]" caption="Costs" attribute="1" defaultMemberUniqueName="[Table1  Location   Profit Margin].[Costs].[All]" allUniqueName="[Table1  Location   Profit Margin].[Costs].[All]" dimensionUniqueName="[Table1  Location   Profit Margin]" displayFolder="" count="0" memberValueDatatype="5" unbalanced="0"/>
    <cacheHierarchy uniqueName="[Table1  Location   Profit Margin].[Profit]" caption="Profit" attribute="1" defaultMemberUniqueName="[Table1  Location   Profit Margin].[Profit].[All]" allUniqueName="[Table1  Location   Profit Margin].[Profit].[All]" dimensionUniqueName="[Table1  Location   Profit Margin]" displayFolder="" count="0" memberValueDatatype="5" unbalanced="0"/>
    <cacheHierarchy uniqueName="[Table1  Location   Profit Margin].[Profit Margin]" caption="Profit Margin" attribute="1" defaultMemberUniqueName="[Table1  Location   Profit Margin].[Profit Margin].[All]" allUniqueName="[Table1  Location   Profit Margin].[Profit Margin].[All]" dimensionUniqueName="[Table1  Location   Profit Margin]" displayFolder="" count="0" memberValueDatatype="5" unbalanced="0"/>
    <cacheHierarchy uniqueName="[Measures].[__XL_Count Table1  Location   Profit Margin]" caption="__XL_Count Table1  Location   Profit Margin" measure="1" displayFolder="" measureGroup="Table1  Location   Profit Margin"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generated]" caption="Sum of Revenue generated" measure="1" displayFolder="" measureGroup="Table1" count="0" hidden="1">
      <extLst>
        <ext xmlns:x15="http://schemas.microsoft.com/office/spreadsheetml/2010/11/main" uri="{B97F6D7D-B522-45F9-BDA1-12C45D357490}">
          <x15:cacheHierarchy aggregatedColumn="5"/>
        </ext>
      </extLst>
    </cacheHierarchy>
    <cacheHierarchy uniqueName="[Measures].[Sum of Defect rates]" caption="Sum of Defect rates" measure="1" displayFolder="" measureGroup="Table1" count="0" hidden="1">
      <extLst>
        <ext xmlns:x15="http://schemas.microsoft.com/office/spreadsheetml/2010/11/main" uri="{B97F6D7D-B522-45F9-BDA1-12C45D357490}">
          <x15:cacheHierarchy aggregatedColumn="20"/>
        </ext>
      </extLst>
    </cacheHierarchy>
    <cacheHierarchy uniqueName="[Measures].[Average of Defect rates]" caption="Average of Defect rates" measure="1" displayFolder="" measureGroup="Table1" count="0" hidden="1">
      <extLst>
        <ext xmlns:x15="http://schemas.microsoft.com/office/spreadsheetml/2010/11/main" uri="{B97F6D7D-B522-45F9-BDA1-12C45D357490}">
          <x15:cacheHierarchy aggregatedColumn="20"/>
        </ext>
      </extLst>
    </cacheHierarchy>
    <cacheHierarchy uniqueName="[Measures].[Count of Inspection results]" caption="Count of Inspection results" measure="1" displayFolder="" measureGroup="Table1  Location   Profit Margin" count="0" hidden="1">
      <extLst>
        <ext xmlns:x15="http://schemas.microsoft.com/office/spreadsheetml/2010/11/main" uri="{B97F6D7D-B522-45F9-BDA1-12C45D357490}">
          <x15:cacheHierarchy aggregatedColumn="31"/>
        </ext>
      </extLst>
    </cacheHierarchy>
    <cacheHierarchy uniqueName="[Measures].[Sum of Lead times]" caption="Sum of Lead times" measure="1" displayFolder="" measureGroup="Table1"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Shipping costs]" caption="Sum of Shipping costs" measure="1" displayFolder="" measureGroup="Table1" count="0" hidden="1">
      <extLst>
        <ext xmlns:x15="http://schemas.microsoft.com/office/spreadsheetml/2010/11/main" uri="{B97F6D7D-B522-45F9-BDA1-12C45D357490}">
          <x15:cacheHierarchy aggregatedColumn="12"/>
        </ext>
      </extLst>
    </cacheHierarchy>
    <cacheHierarchy uniqueName="[Measures].[Sum of Number of products sold]" caption="Sum of Number of products sold" measure="1" displayFolder="" measureGroup="Table1"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4"/>
        </ext>
      </extLst>
    </cacheHierarchy>
  </cacheHierarchies>
  <kpis count="0"/>
  <dimensions count="3">
    <dimension measure="1" name="Measures" uniqueName="[Measures]" caption="Measures"/>
    <dimension name="Table1" uniqueName="[Table1]" caption="Table1"/>
    <dimension name="Table1  Location   Profit Margin" uniqueName="[Table1  Location   Profit Margin]" caption="Table1  Location   Profit Margin"/>
  </dimensions>
  <measureGroups count="2">
    <measureGroup name="Table1" caption="Table1"/>
    <measureGroup name="Table1  Location   Profit Margin" caption="Table1  Location   Profit Margi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55.555275462961" backgroundQuery="1" createdVersion="8" refreshedVersion="8" minRefreshableVersion="3" recordCount="0" supportSubquery="1" supportAdvancedDrill="1" xr:uid="{7B622677-E201-40F2-90ED-28159C8194CF}">
  <cacheSource type="external" connectionId="1"/>
  <cacheFields count="5">
    <cacheField name="[Measures].[Sum of Shipping costs]" caption="Sum of Shipping costs" numFmtId="0" hierarchy="46" level="32767"/>
    <cacheField name="[Measures].[Sum of Defect rates]" caption="Sum of Defect rates" numFmtId="0" hierarchy="42" level="32767"/>
    <cacheField name="[Measures].[Sum of Number of products sold]" caption="Sum of Number of products sold" numFmtId="0" hierarchy="47" level="32767"/>
    <cacheField name="[Measures].[Sum of Profit]" caption="Sum of Profit" numFmtId="0" hierarchy="48" level="32767"/>
    <cacheField name="[Table1].[Transportation modes].[Transportation modes]" caption="Transportation modes" numFmtId="0" hierarchy="21" level="1">
      <sharedItems containsSemiMixedTypes="0" containsNonDate="0" containsString="0"/>
    </cacheField>
  </cacheFields>
  <cacheHierarchies count="49">
    <cacheHierarchy uniqueName="[Table1].[Product type]" caption="Product type" attribute="1" defaultMemberUniqueName="[Table1].[Product type].[All]" allUniqueName="[Table1].[Product type].[All]" dimensionUniqueName="[Table1]" displayFolder="" count="2" memberValueDatatype="130" unbalanced="0"/>
    <cacheHierarchy uniqueName="[Table1].[SKU]" caption="SKU" attribute="1" defaultMemberUniqueName="[Table1].[SKU].[All]" allUniqueName="[Table1].[SKU].[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Availability]" caption="Availability" attribute="1" defaultMemberUniqueName="[Table1].[Availability].[All]" allUniqueName="[Table1].[Availability].[All]" dimensionUniqueName="[Table1]" displayFolder="" count="0" memberValueDatatype="20" unbalanced="0"/>
    <cacheHierarchy uniqueName="[Table1].[Number of products sold]" caption="Number of products sold" attribute="1" defaultMemberUniqueName="[Table1].[Number of products sold].[All]" allUniqueName="[Table1].[Number of products sold].[All]" dimensionUniqueName="[Table1]" displayFolder="" count="0" memberValueDatatype="20" unbalanced="0"/>
    <cacheHierarchy uniqueName="[Table1].[Revenue generated]" caption="Revenue generated" attribute="1" defaultMemberUniqueName="[Table1].[Revenue generated].[All]" allUniqueName="[Table1].[Revenue generated].[All]" dimensionUniqueName="[Table1]" displayFolder="" count="0" memberValueDatatype="5" unbalanced="0"/>
    <cacheHierarchy uniqueName="[Table1].[Customer demographics]" caption="Customer demographics" attribute="1" defaultMemberUniqueName="[Table1].[Customer demographics].[All]" allUniqueName="[Table1].[Customer demographics].[All]" dimensionUniqueName="[Table1]" displayFolder="" count="0" memberValueDatatype="130" unbalanced="0"/>
    <cacheHierarchy uniqueName="[Table1].[Stock levels]" caption="Stock levels" attribute="1" defaultMemberUniqueName="[Table1].[Stock levels].[All]" allUniqueName="[Table1].[Stock levels].[All]" dimensionUniqueName="[Table1]" displayFolder="" count="0" memberValueDatatype="20" unbalanced="0"/>
    <cacheHierarchy uniqueName="[Table1].[Lead times]" caption="Lead times" attribute="1" defaultMemberUniqueName="[Table1].[Lead times].[All]" allUniqueName="[Table1].[Lead times].[All]" dimensionUniqueName="[Table1]" displayFolder="" count="0" memberValueDatatype="20" unbalanced="0"/>
    <cacheHierarchy uniqueName="[Table1].[Order quantities]" caption="Order quantities" attribute="1" defaultMemberUniqueName="[Table1].[Order quantities].[All]" allUniqueName="[Table1].[Order quantities].[All]" dimensionUniqueName="[Table1]" displayFolder="" count="0" memberValueDatatype="20" unbalanced="0"/>
    <cacheHierarchy uniqueName="[Table1].[Shipping times]" caption="Shipping times" attribute="1" defaultMemberUniqueName="[Table1].[Shipping times].[All]" allUniqueName="[Table1].[Shipping times].[All]" dimensionUniqueName="[Table1]" displayFolder="" count="0" memberValueDatatype="20" unbalanced="0"/>
    <cacheHierarchy uniqueName="[Table1].[Shipping carriers]" caption="Shipping carriers" attribute="1" defaultMemberUniqueName="[Table1].[Shipping carriers].[All]" allUniqueName="[Table1].[Shipping carriers].[All]" dimensionUniqueName="[Table1]" displayFolder="" count="0" memberValueDatatype="130" unbalanced="0"/>
    <cacheHierarchy uniqueName="[Table1].[Shipping costs]" caption="Shipping costs" attribute="1" defaultMemberUniqueName="[Table1].[Shipping costs].[All]" allUniqueName="[Table1].[Shipping costs].[All]" dimensionUniqueName="[Table1]" displayFolder="" count="0" memberValueDatatype="5" unbalanced="0"/>
    <cacheHierarchy uniqueName="[Table1].[Supplier name]" caption="Supplier name" attribute="1" defaultMemberUniqueName="[Table1].[Supplier name].[All]" allUniqueName="[Table1].[Supplier name].[All]" dimensionUniqueName="[Table1]" displayFolder="" count="2" memberValueDatatype="130" unbalanced="0"/>
    <cacheHierarchy uniqueName="[Table1].[Location]" caption="Location" attribute="1" defaultMemberUniqueName="[Table1].[Location].[All]" allUniqueName="[Table1].[Location].[All]" dimensionUniqueName="[Table1]" displayFolder="" count="2" memberValueDatatype="130" unbalanced="0"/>
    <cacheHierarchy uniqueName="[Table1].[Lead time]" caption="Lead time" attribute="1" defaultMemberUniqueName="[Table1].[Lead time].[All]" allUniqueName="[Table1].[Lead time].[All]" dimensionUniqueName="[Table1]" displayFolder="" count="0" memberValueDatatype="20" unbalanced="0"/>
    <cacheHierarchy uniqueName="[Table1].[Production volumes]" caption="Production volumes" attribute="1" defaultMemberUniqueName="[Table1].[Production volumes].[All]" allUniqueName="[Table1].[Production volumes].[All]" dimensionUniqueName="[Table1]" displayFolder="" count="0" memberValueDatatype="20" unbalanced="0"/>
    <cacheHierarchy uniqueName="[Table1].[Manufacturing lead time]" caption="Manufacturing lead time" attribute="1" defaultMemberUniqueName="[Table1].[Manufacturing lead time].[All]" allUniqueName="[Table1].[Manufacturing lead time].[All]" dimensionUniqueName="[Table1]" displayFolder="" count="0" memberValueDatatype="20" unbalanced="0"/>
    <cacheHierarchy uniqueName="[Table1].[Manufacturing costs]" caption="Manufacturing costs" attribute="1" defaultMemberUniqueName="[Table1].[Manufacturing costs].[All]" allUniqueName="[Table1].[Manufacturing costs].[All]" dimensionUniqueName="[Table1]" displayFolder="" count="0" memberValueDatatype="5" unbalanced="0"/>
    <cacheHierarchy uniqueName="[Table1].[Inspection results]" caption="Inspection results" attribute="1" defaultMemberUniqueName="[Table1].[Inspection results].[All]" allUniqueName="[Table1].[Inspection results].[All]" dimensionUniqueName="[Table1]" displayFolder="" count="0" memberValueDatatype="130" unbalanced="0"/>
    <cacheHierarchy uniqueName="[Table1].[Defect rates]" caption="Defect rates" attribute="1" defaultMemberUniqueName="[Table1].[Defect rates].[All]" allUniqueName="[Table1].[Defect rates].[All]" dimensionUniqueName="[Table1]" displayFolder="" count="0" memberValueDatatype="5" unbalanced="0"/>
    <cacheHierarchy uniqueName="[Table1].[Transportation modes]" caption="Transportation modes" attribute="1" defaultMemberUniqueName="[Table1].[Transportation modes].[All]" allUniqueName="[Table1].[Transportation modes].[All]" dimensionUniqueName="[Table1]" displayFolder="" count="2" memberValueDatatype="130" unbalanced="0">
      <fieldsUsage count="2">
        <fieldUsage x="-1"/>
        <fieldUsage x="4"/>
      </fieldsUsage>
    </cacheHierarchy>
    <cacheHierarchy uniqueName="[Table1].[Routes]" caption="Routes" attribute="1" defaultMemberUniqueName="[Table1].[Routes].[All]" allUniqueName="[Table1].[Routes].[All]" dimensionUniqueName="[Table1]" displayFolder="" count="0" memberValueDatatype="130" unbalanced="0"/>
    <cacheHierarchy uniqueName="[Table1].[Costs]" caption="Costs" attribute="1" defaultMemberUniqueName="[Table1].[Costs].[All]" allUniqueName="[Table1].[Cost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  Location   Profit Margin].[Location]" caption="Location" attribute="1" defaultMemberUniqueName="[Table1  Location   Profit Margin].[Location].[All]" allUniqueName="[Table1  Location   Profit Margin].[Location].[All]" dimensionUniqueName="[Table1  Location   Profit Margin]" displayFolder="" count="0" memberValueDatatype="130" unbalanced="0"/>
    <cacheHierarchy uniqueName="[Table1  Location   Profit Margin].[Lead time]" caption="Lead time" attribute="1" defaultMemberUniqueName="[Table1  Location   Profit Margin].[Lead time].[All]" allUniqueName="[Table1  Location   Profit Margin].[Lead time].[All]" dimensionUniqueName="[Table1  Location   Profit Margin]" displayFolder="" count="0" memberValueDatatype="20" unbalanced="0"/>
    <cacheHierarchy uniqueName="[Table1  Location   Profit Margin].[Production volumes]" caption="Production volumes" attribute="1" defaultMemberUniqueName="[Table1  Location   Profit Margin].[Production volumes].[All]" allUniqueName="[Table1  Location   Profit Margin].[Production volumes].[All]" dimensionUniqueName="[Table1  Location   Profit Margin]" displayFolder="" count="0" memberValueDatatype="20" unbalanced="0"/>
    <cacheHierarchy uniqueName="[Table1  Location   Profit Margin].[Manufacturing lead time]" caption="Manufacturing lead time" attribute="1" defaultMemberUniqueName="[Table1  Location   Profit Margin].[Manufacturing lead time].[All]" allUniqueName="[Table1  Location   Profit Margin].[Manufacturing lead time].[All]" dimensionUniqueName="[Table1  Location   Profit Margin]" displayFolder="" count="0" memberValueDatatype="20" unbalanced="0"/>
    <cacheHierarchy uniqueName="[Table1  Location   Profit Margin].[Manufacturing costs]" caption="Manufacturing costs" attribute="1" defaultMemberUniqueName="[Table1  Location   Profit Margin].[Manufacturing costs].[All]" allUniqueName="[Table1  Location   Profit Margin].[Manufacturing costs].[All]" dimensionUniqueName="[Table1  Location   Profit Margin]" displayFolder="" count="0" memberValueDatatype="5" unbalanced="0"/>
    <cacheHierarchy uniqueName="[Table1  Location   Profit Margin].[Inspection results]" caption="Inspection results" attribute="1" defaultMemberUniqueName="[Table1  Location   Profit Margin].[Inspection results].[All]" allUniqueName="[Table1  Location   Profit Margin].[Inspection results].[All]" dimensionUniqueName="[Table1  Location   Profit Margin]" displayFolder="" count="0" memberValueDatatype="130" unbalanced="0"/>
    <cacheHierarchy uniqueName="[Table1  Location   Profit Margin].[Defect rates]" caption="Defect rates" attribute="1" defaultMemberUniqueName="[Table1  Location   Profit Margin].[Defect rates].[All]" allUniqueName="[Table1  Location   Profit Margin].[Defect rates].[All]" dimensionUniqueName="[Table1  Location   Profit Margin]" displayFolder="" count="0" memberValueDatatype="5" unbalanced="0"/>
    <cacheHierarchy uniqueName="[Table1  Location   Profit Margin].[Transportation modes]" caption="Transportation modes" attribute="1" defaultMemberUniqueName="[Table1  Location   Profit Margin].[Transportation modes].[All]" allUniqueName="[Table1  Location   Profit Margin].[Transportation modes].[All]" dimensionUniqueName="[Table1  Location   Profit Margin]" displayFolder="" count="0" memberValueDatatype="130" unbalanced="0"/>
    <cacheHierarchy uniqueName="[Table1  Location   Profit Margin].[Routes]" caption="Routes" attribute="1" defaultMemberUniqueName="[Table1  Location   Profit Margin].[Routes].[All]" allUniqueName="[Table1  Location   Profit Margin].[Routes].[All]" dimensionUniqueName="[Table1  Location   Profit Margin]" displayFolder="" count="0" memberValueDatatype="130" unbalanced="0"/>
    <cacheHierarchy uniqueName="[Table1  Location   Profit Margin].[Costs]" caption="Costs" attribute="1" defaultMemberUniqueName="[Table1  Location   Profit Margin].[Costs].[All]" allUniqueName="[Table1  Location   Profit Margin].[Costs].[All]" dimensionUniqueName="[Table1  Location   Profit Margin]" displayFolder="" count="0" memberValueDatatype="5" unbalanced="0"/>
    <cacheHierarchy uniqueName="[Table1  Location   Profit Margin].[Profit]" caption="Profit" attribute="1" defaultMemberUniqueName="[Table1  Location   Profit Margin].[Profit].[All]" allUniqueName="[Table1  Location   Profit Margin].[Profit].[All]" dimensionUniqueName="[Table1  Location   Profit Margin]" displayFolder="" count="0" memberValueDatatype="5" unbalanced="0"/>
    <cacheHierarchy uniqueName="[Table1  Location   Profit Margin].[Profit Margin]" caption="Profit Margin" attribute="1" defaultMemberUniqueName="[Table1  Location   Profit Margin].[Profit Margin].[All]" allUniqueName="[Table1  Location   Profit Margin].[Profit Margin].[All]" dimensionUniqueName="[Table1  Location   Profit Margin]" displayFolder="" count="0" memberValueDatatype="5" unbalanced="0"/>
    <cacheHierarchy uniqueName="[Measures].[__XL_Count Table1  Location   Profit Margin]" caption="__XL_Count Table1  Location   Profit Margin" measure="1" displayFolder="" measureGroup="Table1  Location   Profit Margin"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generated]" caption="Sum of Revenue generated" measure="1" displayFolder="" measureGroup="Table1" count="0" hidden="1">
      <extLst>
        <ext xmlns:x15="http://schemas.microsoft.com/office/spreadsheetml/2010/11/main" uri="{B97F6D7D-B522-45F9-BDA1-12C45D357490}">
          <x15:cacheHierarchy aggregatedColumn="5"/>
        </ext>
      </extLst>
    </cacheHierarchy>
    <cacheHierarchy uniqueName="[Measures].[Sum of Defect rates]" caption="Sum of Defect rates"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Average of Defect rates]" caption="Average of Defect rates" measure="1" displayFolder="" measureGroup="Table1" count="0" hidden="1">
      <extLst>
        <ext xmlns:x15="http://schemas.microsoft.com/office/spreadsheetml/2010/11/main" uri="{B97F6D7D-B522-45F9-BDA1-12C45D357490}">
          <x15:cacheHierarchy aggregatedColumn="20"/>
        </ext>
      </extLst>
    </cacheHierarchy>
    <cacheHierarchy uniqueName="[Measures].[Count of Inspection results]" caption="Count of Inspection results" measure="1" displayFolder="" measureGroup="Table1  Location   Profit Margin" count="0" hidden="1">
      <extLst>
        <ext xmlns:x15="http://schemas.microsoft.com/office/spreadsheetml/2010/11/main" uri="{B97F6D7D-B522-45F9-BDA1-12C45D357490}">
          <x15:cacheHierarchy aggregatedColumn="31"/>
        </ext>
      </extLst>
    </cacheHierarchy>
    <cacheHierarchy uniqueName="[Measures].[Sum of Lead times]" caption="Sum of Lead times" measure="1" displayFolder="" measureGroup="Table1" count="0" hidden="1">
      <extLst>
        <ext xmlns:x15="http://schemas.microsoft.com/office/spreadsheetml/2010/11/main" uri="{B97F6D7D-B522-45F9-BDA1-12C45D357490}">
          <x15:cacheHierarchy aggregatedColumn="8"/>
        </ext>
      </extLst>
    </cacheHierarchy>
    <cacheHierarchy uniqueName="[Measures].[Sum of Shipping costs]" caption="Sum of Shipping costs" measure="1" displayFolder="" measureGroup="Table1"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Number of products sold]" caption="Sum of Number of products sold" measure="1" displayFolder="" measureGroup="Table1"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Profit]" caption="Sum of Profit" measure="1" displayFolder="" measureGroup="Table1" count="0" oneField="1" hidden="1">
      <fieldsUsage count="1">
        <fieldUsage x="3"/>
      </fieldsUsage>
      <extLst>
        <ext xmlns:x15="http://schemas.microsoft.com/office/spreadsheetml/2010/11/main" uri="{B97F6D7D-B522-45F9-BDA1-12C45D357490}">
          <x15:cacheHierarchy aggregatedColumn="24"/>
        </ext>
      </extLst>
    </cacheHierarchy>
  </cacheHierarchies>
  <kpis count="0"/>
  <dimensions count="3">
    <dimension measure="1" name="Measures" uniqueName="[Measures]" caption="Measures"/>
    <dimension name="Table1" uniqueName="[Table1]" caption="Table1"/>
    <dimension name="Table1  Location   Profit Margin" uniqueName="[Table1  Location   Profit Margin]" caption="Table1  Location   Profit Margin"/>
  </dimensions>
  <measureGroups count="2">
    <measureGroup name="Table1" caption="Table1"/>
    <measureGroup name="Table1  Location   Profit Margin" caption="Table1  Location   Profit Margi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55.507340046293" backgroundQuery="1" createdVersion="3" refreshedVersion="8" minRefreshableVersion="3" recordCount="0" supportSubquery="1" supportAdvancedDrill="1" xr:uid="{A9EC4B30-B459-4C9D-AB09-BC2FCB8B761F}">
  <cacheSource type="external" connectionId="1">
    <extLst>
      <ext xmlns:x14="http://schemas.microsoft.com/office/spreadsheetml/2009/9/main" uri="{F057638F-6D5F-4e77-A914-E7F072B9BCA8}">
        <x14:sourceConnection name="ThisWorkbookDataModel"/>
      </ext>
    </extLst>
  </cacheSource>
  <cacheFields count="0"/>
  <cacheHierarchies count="45">
    <cacheHierarchy uniqueName="[Table1].[Product type]" caption="Product type" attribute="1" defaultMemberUniqueName="[Table1].[Product type].[All]" allUniqueName="[Table1].[Product type].[All]" dimensionUniqueName="[Table1]" displayFolder="" count="2" memberValueDatatype="130" unbalanced="0"/>
    <cacheHierarchy uniqueName="[Table1].[SKU]" caption="SKU" attribute="1" defaultMemberUniqueName="[Table1].[SKU].[All]" allUniqueName="[Table1].[SKU].[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Availability]" caption="Availability" attribute="1" defaultMemberUniqueName="[Table1].[Availability].[All]" allUniqueName="[Table1].[Availability].[All]" dimensionUniqueName="[Table1]" displayFolder="" count="0" memberValueDatatype="20" unbalanced="0"/>
    <cacheHierarchy uniqueName="[Table1].[Number of products sold]" caption="Number of products sold" attribute="1" defaultMemberUniqueName="[Table1].[Number of products sold].[All]" allUniqueName="[Table1].[Number of products sold].[All]" dimensionUniqueName="[Table1]" displayFolder="" count="0" memberValueDatatype="20" unbalanced="0"/>
    <cacheHierarchy uniqueName="[Table1].[Revenue generated]" caption="Revenue generated" attribute="1" defaultMemberUniqueName="[Table1].[Revenue generated].[All]" allUniqueName="[Table1].[Revenue generated].[All]" dimensionUniqueName="[Table1]" displayFolder="" count="0" memberValueDatatype="5" unbalanced="0"/>
    <cacheHierarchy uniqueName="[Table1].[Customer demographics]" caption="Customer demographics" attribute="1" defaultMemberUniqueName="[Table1].[Customer demographics].[All]" allUniqueName="[Table1].[Customer demographics].[All]" dimensionUniqueName="[Table1]" displayFolder="" count="0" memberValueDatatype="130" unbalanced="0"/>
    <cacheHierarchy uniqueName="[Table1].[Stock levels]" caption="Stock levels" attribute="1" defaultMemberUniqueName="[Table1].[Stock levels].[All]" allUniqueName="[Table1].[Stock levels].[All]" dimensionUniqueName="[Table1]" displayFolder="" count="0" memberValueDatatype="20" unbalanced="0"/>
    <cacheHierarchy uniqueName="[Table1].[Lead times]" caption="Lead times" attribute="1" defaultMemberUniqueName="[Table1].[Lead times].[All]" allUniqueName="[Table1].[Lead times].[All]" dimensionUniqueName="[Table1]" displayFolder="" count="0" memberValueDatatype="20" unbalanced="0"/>
    <cacheHierarchy uniqueName="[Table1].[Order quantities]" caption="Order quantities" attribute="1" defaultMemberUniqueName="[Table1].[Order quantities].[All]" allUniqueName="[Table1].[Order quantities].[All]" dimensionUniqueName="[Table1]" displayFolder="" count="0" memberValueDatatype="20" unbalanced="0"/>
    <cacheHierarchy uniqueName="[Table1].[Shipping times]" caption="Shipping times" attribute="1" defaultMemberUniqueName="[Table1].[Shipping times].[All]" allUniqueName="[Table1].[Shipping times].[All]" dimensionUniqueName="[Table1]" displayFolder="" count="0" memberValueDatatype="20" unbalanced="0"/>
    <cacheHierarchy uniqueName="[Table1].[Shipping carriers]" caption="Shipping carriers" attribute="1" defaultMemberUniqueName="[Table1].[Shipping carriers].[All]" allUniqueName="[Table1].[Shipping carriers].[All]" dimensionUniqueName="[Table1]" displayFolder="" count="0" memberValueDatatype="130" unbalanced="0"/>
    <cacheHierarchy uniqueName="[Table1].[Shipping costs]" caption="Shipping costs" attribute="1" defaultMemberUniqueName="[Table1].[Shipping costs].[All]" allUniqueName="[Table1].[Shipping costs].[All]" dimensionUniqueName="[Table1]" displayFolder="" count="0" memberValueDatatype="5" unbalanced="0"/>
    <cacheHierarchy uniqueName="[Table1].[Supplier name]" caption="Supplier name" attribute="1" defaultMemberUniqueName="[Table1].[Supplier name].[All]" allUniqueName="[Table1].[Supplier name].[All]" dimensionUniqueName="[Table1]" displayFolder="" count="2" memberValueDatatype="130" unbalanced="0"/>
    <cacheHierarchy uniqueName="[Table1].[Location]" caption="Location" attribute="1" defaultMemberUniqueName="[Table1].[Location].[All]" allUniqueName="[Table1].[Location].[All]" dimensionUniqueName="[Table1]" displayFolder="" count="2" memberValueDatatype="130" unbalanced="0"/>
    <cacheHierarchy uniqueName="[Table1].[Lead time]" caption="Lead time" attribute="1" defaultMemberUniqueName="[Table1].[Lead time].[All]" allUniqueName="[Table1].[Lead time].[All]" dimensionUniqueName="[Table1]" displayFolder="" count="0" memberValueDatatype="20" unbalanced="0"/>
    <cacheHierarchy uniqueName="[Table1].[Production volumes]" caption="Production volumes" attribute="1" defaultMemberUniqueName="[Table1].[Production volumes].[All]" allUniqueName="[Table1].[Production volumes].[All]" dimensionUniqueName="[Table1]" displayFolder="" count="0" memberValueDatatype="20" unbalanced="0"/>
    <cacheHierarchy uniqueName="[Table1].[Manufacturing lead time]" caption="Manufacturing lead time" attribute="1" defaultMemberUniqueName="[Table1].[Manufacturing lead time].[All]" allUniqueName="[Table1].[Manufacturing lead time].[All]" dimensionUniqueName="[Table1]" displayFolder="" count="0" memberValueDatatype="20" unbalanced="0"/>
    <cacheHierarchy uniqueName="[Table1].[Manufacturing costs]" caption="Manufacturing costs" attribute="1" defaultMemberUniqueName="[Table1].[Manufacturing costs].[All]" allUniqueName="[Table1].[Manufacturing costs].[All]" dimensionUniqueName="[Table1]" displayFolder="" count="0" memberValueDatatype="5" unbalanced="0"/>
    <cacheHierarchy uniqueName="[Table1].[Inspection results]" caption="Inspection results" attribute="1" defaultMemberUniqueName="[Table1].[Inspection results].[All]" allUniqueName="[Table1].[Inspection results].[All]" dimensionUniqueName="[Table1]" displayFolder="" count="0" memberValueDatatype="130" unbalanced="0"/>
    <cacheHierarchy uniqueName="[Table1].[Defect rates]" caption="Defect rates" attribute="1" defaultMemberUniqueName="[Table1].[Defect rates].[All]" allUniqueName="[Table1].[Defect rates].[All]" dimensionUniqueName="[Table1]" displayFolder="" count="0" memberValueDatatype="5" unbalanced="0"/>
    <cacheHierarchy uniqueName="[Table1].[Transportation modes]" caption="Transportation modes" attribute="1" defaultMemberUniqueName="[Table1].[Transportation modes].[All]" allUniqueName="[Table1].[Transportation modes].[All]" dimensionUniqueName="[Table1]" displayFolder="" count="2" memberValueDatatype="130" unbalanced="0"/>
    <cacheHierarchy uniqueName="[Table1].[Routes]" caption="Routes" attribute="1" defaultMemberUniqueName="[Table1].[Routes].[All]" allUniqueName="[Table1].[Routes].[All]" dimensionUniqueName="[Table1]" displayFolder="" count="0" memberValueDatatype="130" unbalanced="0"/>
    <cacheHierarchy uniqueName="[Table1].[Costs]" caption="Costs" attribute="1" defaultMemberUniqueName="[Table1].[Costs].[All]" allUniqueName="[Table1].[Cost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  Location   Profit Margin].[Location]" caption="Location" attribute="1" defaultMemberUniqueName="[Table1  Location   Profit Margin].[Location].[All]" allUniqueName="[Table1  Location   Profit Margin].[Location].[All]" dimensionUniqueName="[Table1  Location   Profit Margin]" displayFolder="" count="0" memberValueDatatype="130" unbalanced="0"/>
    <cacheHierarchy uniqueName="[Table1  Location   Profit Margin].[Lead time]" caption="Lead time" attribute="1" defaultMemberUniqueName="[Table1  Location   Profit Margin].[Lead time].[All]" allUniqueName="[Table1  Location   Profit Margin].[Lead time].[All]" dimensionUniqueName="[Table1  Location   Profit Margin]" displayFolder="" count="0" memberValueDatatype="20" unbalanced="0"/>
    <cacheHierarchy uniqueName="[Table1  Location   Profit Margin].[Production volumes]" caption="Production volumes" attribute="1" defaultMemberUniqueName="[Table1  Location   Profit Margin].[Production volumes].[All]" allUniqueName="[Table1  Location   Profit Margin].[Production volumes].[All]" dimensionUniqueName="[Table1  Location   Profit Margin]" displayFolder="" count="0" memberValueDatatype="20" unbalanced="0"/>
    <cacheHierarchy uniqueName="[Table1  Location   Profit Margin].[Manufacturing lead time]" caption="Manufacturing lead time" attribute="1" defaultMemberUniqueName="[Table1  Location   Profit Margin].[Manufacturing lead time].[All]" allUniqueName="[Table1  Location   Profit Margin].[Manufacturing lead time].[All]" dimensionUniqueName="[Table1  Location   Profit Margin]" displayFolder="" count="0" memberValueDatatype="20" unbalanced="0"/>
    <cacheHierarchy uniqueName="[Table1  Location   Profit Margin].[Manufacturing costs]" caption="Manufacturing costs" attribute="1" defaultMemberUniqueName="[Table1  Location   Profit Margin].[Manufacturing costs].[All]" allUniqueName="[Table1  Location   Profit Margin].[Manufacturing costs].[All]" dimensionUniqueName="[Table1  Location   Profit Margin]" displayFolder="" count="0" memberValueDatatype="5" unbalanced="0"/>
    <cacheHierarchy uniqueName="[Table1  Location   Profit Margin].[Inspection results]" caption="Inspection results" attribute="1" defaultMemberUniqueName="[Table1  Location   Profit Margin].[Inspection results].[All]" allUniqueName="[Table1  Location   Profit Margin].[Inspection results].[All]" dimensionUniqueName="[Table1  Location   Profit Margin]" displayFolder="" count="0" memberValueDatatype="130" unbalanced="0"/>
    <cacheHierarchy uniqueName="[Table1  Location   Profit Margin].[Defect rates]" caption="Defect rates" attribute="1" defaultMemberUniqueName="[Table1  Location   Profit Margin].[Defect rates].[All]" allUniqueName="[Table1  Location   Profit Margin].[Defect rates].[All]" dimensionUniqueName="[Table1  Location   Profit Margin]" displayFolder="" count="0" memberValueDatatype="5" unbalanced="0"/>
    <cacheHierarchy uniqueName="[Table1  Location   Profit Margin].[Transportation modes]" caption="Transportation modes" attribute="1" defaultMemberUniqueName="[Table1  Location   Profit Margin].[Transportation modes].[All]" allUniqueName="[Table1  Location   Profit Margin].[Transportation modes].[All]" dimensionUniqueName="[Table1  Location   Profit Margin]" displayFolder="" count="0" memberValueDatatype="130" unbalanced="0"/>
    <cacheHierarchy uniqueName="[Table1  Location   Profit Margin].[Routes]" caption="Routes" attribute="1" defaultMemberUniqueName="[Table1  Location   Profit Margin].[Routes].[All]" allUniqueName="[Table1  Location   Profit Margin].[Routes].[All]" dimensionUniqueName="[Table1  Location   Profit Margin]" displayFolder="" count="0" memberValueDatatype="130" unbalanced="0"/>
    <cacheHierarchy uniqueName="[Table1  Location   Profit Margin].[Costs]" caption="Costs" attribute="1" defaultMemberUniqueName="[Table1  Location   Profit Margin].[Costs].[All]" allUniqueName="[Table1  Location   Profit Margin].[Costs].[All]" dimensionUniqueName="[Table1  Location   Profit Margin]" displayFolder="" count="0" memberValueDatatype="5" unbalanced="0"/>
    <cacheHierarchy uniqueName="[Table1  Location   Profit Margin].[Profit]" caption="Profit" attribute="1" defaultMemberUniqueName="[Table1  Location   Profit Margin].[Profit].[All]" allUniqueName="[Table1  Location   Profit Margin].[Profit].[All]" dimensionUniqueName="[Table1  Location   Profit Margin]" displayFolder="" count="0" memberValueDatatype="5" unbalanced="0"/>
    <cacheHierarchy uniqueName="[Table1  Location   Profit Margin].[Profit Margin]" caption="Profit Margin" attribute="1" defaultMemberUniqueName="[Table1  Location   Profit Margin].[Profit Margin].[All]" allUniqueName="[Table1  Location   Profit Margin].[Profit Margin].[All]" dimensionUniqueName="[Table1  Location   Profit Margin]" displayFolder="" count="0" memberValueDatatype="5" unbalanced="0"/>
    <cacheHierarchy uniqueName="[Measures].[__XL_Count Table1  Location   Profit Margin]" caption="__XL_Count Table1  Location   Profit Margin" measure="1" displayFolder="" measureGroup="Table1  Location   Profit Margin"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generated]" caption="Sum of Revenue generated" measure="1" displayFolder="" measureGroup="Table1" count="0" hidden="1">
      <extLst>
        <ext xmlns:x15="http://schemas.microsoft.com/office/spreadsheetml/2010/11/main" uri="{B97F6D7D-B522-45F9-BDA1-12C45D357490}">
          <x15:cacheHierarchy aggregatedColumn="5"/>
        </ext>
      </extLst>
    </cacheHierarchy>
    <cacheHierarchy uniqueName="[Measures].[Sum of Defect rates]" caption="Sum of Defect rates" measure="1" displayFolder="" measureGroup="Table1" count="0" hidden="1">
      <extLst>
        <ext xmlns:x15="http://schemas.microsoft.com/office/spreadsheetml/2010/11/main" uri="{B97F6D7D-B522-45F9-BDA1-12C45D357490}">
          <x15:cacheHierarchy aggregatedColumn="20"/>
        </ext>
      </extLst>
    </cacheHierarchy>
    <cacheHierarchy uniqueName="[Measures].[Average of Defect rates]" caption="Average of Defect rates" measure="1" displayFolder="" measureGroup="Table1" count="0" hidden="1">
      <extLst>
        <ext xmlns:x15="http://schemas.microsoft.com/office/spreadsheetml/2010/11/main" uri="{B97F6D7D-B522-45F9-BDA1-12C45D357490}">
          <x15:cacheHierarchy aggregatedColumn="20"/>
        </ext>
      </extLst>
    </cacheHierarchy>
    <cacheHierarchy uniqueName="[Measures].[Count of Inspection results]" caption="Count of Inspection results" measure="1" displayFolder="" measureGroup="Table1  Location   Profit Margin" count="0" hidden="1">
      <extLst>
        <ext xmlns:x15="http://schemas.microsoft.com/office/spreadsheetml/2010/11/main" uri="{B97F6D7D-B522-45F9-BDA1-12C45D357490}">
          <x15:cacheHierarchy aggregatedColumn="31"/>
        </ext>
      </extLst>
    </cacheHierarchy>
  </cacheHierarchies>
  <kpis count="0"/>
  <extLst>
    <ext xmlns:x14="http://schemas.microsoft.com/office/spreadsheetml/2009/9/main" uri="{725AE2AE-9491-48be-B2B4-4EB974FC3084}">
      <x14:pivotCacheDefinition slicerData="1" pivotCacheId="882832982"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haircare"/>
    <s v="SKU0"/>
    <n v="69.808005542115694"/>
    <n v="55"/>
    <n v="802"/>
    <n v="8661.9967923923796"/>
    <s v="Non-binary"/>
    <n v="58"/>
    <n v="7"/>
    <n v="96"/>
    <n v="4"/>
    <s v="Carrier B"/>
    <n v="2.9565721394308002"/>
    <s v="Supplier 3"/>
    <s v="Mumbai"/>
    <n v="29"/>
    <n v="215"/>
    <n v="29"/>
    <n v="46.279879240508301"/>
    <s v="Pending"/>
    <n v="0.226410360849925"/>
    <x v="0"/>
    <s v="Route B"/>
    <n v="187.75207545920301"/>
    <n v="8612.7603410124411"/>
    <n v="0.9943158081721778"/>
  </r>
  <r>
    <s v="skincare"/>
    <s v="SKU1"/>
    <n v="14.8435232750843"/>
    <n v="95"/>
    <n v="736"/>
    <n v="7460.9000654458396"/>
    <s v="Female"/>
    <n v="53"/>
    <n v="30"/>
    <n v="37"/>
    <n v="2"/>
    <s v="Carrier A"/>
    <n v="9.7165747714313095"/>
    <s v="Supplier 3"/>
    <s v="Mumbai"/>
    <n v="23"/>
    <n v="517"/>
    <n v="30"/>
    <n v="33.616768953730002"/>
    <s v="Pending"/>
    <n v="4.8540680263886999"/>
    <x v="0"/>
    <s v="Route B"/>
    <n v="503.06557914966902"/>
    <n v="7417.5667217206783"/>
    <n v="0.99419194154256885"/>
  </r>
  <r>
    <s v="haircare"/>
    <s v="SKU2"/>
    <n v="11.319683293090501"/>
    <n v="34"/>
    <n v="8"/>
    <n v="9577.7496258687297"/>
    <s v="Unknown"/>
    <n v="1"/>
    <n v="10"/>
    <n v="88"/>
    <n v="2"/>
    <s v="Carrier B"/>
    <n v="8.0544792617321495"/>
    <s v="Supplier 1"/>
    <s v="Mumbai"/>
    <n v="12"/>
    <n v="971"/>
    <n v="27"/>
    <n v="30.6880193482842"/>
    <s v="Pending"/>
    <n v="4.5805926191992201"/>
    <x v="1"/>
    <s v="Route C"/>
    <n v="141.920281771519"/>
    <n v="9539.007127258712"/>
    <n v="0.99595494765227754"/>
  </r>
  <r>
    <s v="skincare"/>
    <s v="SKU3"/>
    <n v="61.1633430164377"/>
    <n v="68"/>
    <n v="83"/>
    <n v="7766.8364256852301"/>
    <s v="Non-binary"/>
    <n v="23"/>
    <n v="13"/>
    <n v="59"/>
    <n v="6"/>
    <s v="Carrier C"/>
    <n v="1.7295685635434199"/>
    <s v="Supplier 5"/>
    <s v="Kolkata"/>
    <n v="24"/>
    <n v="937"/>
    <n v="18"/>
    <n v="35.624741397125"/>
    <s v="Fail"/>
    <n v="4.7466486206477496"/>
    <x v="2"/>
    <s v="Route A"/>
    <n v="254.776159219286"/>
    <n v="7729.4821157245615"/>
    <n v="0.99519053731617979"/>
  </r>
  <r>
    <s v="skincare"/>
    <s v="SKU4"/>
    <n v="4.8054960363458896"/>
    <n v="26"/>
    <n v="871"/>
    <n v="2686.50515156744"/>
    <s v="Non-binary"/>
    <n v="5"/>
    <n v="3"/>
    <n v="56"/>
    <n v="8"/>
    <s v="Carrier A"/>
    <n v="3.8905479158706702"/>
    <s v="Supplier 1"/>
    <s v="Delhi"/>
    <n v="5"/>
    <n v="414"/>
    <n v="3"/>
    <n v="92.065160598712794"/>
    <s v="Fail"/>
    <n v="3.1455795228330001"/>
    <x v="1"/>
    <s v="Route A"/>
    <n v="923.44063171192204"/>
    <n v="2590.5494430528565"/>
    <n v="0.96428232848963713"/>
  </r>
  <r>
    <s v="haircare"/>
    <s v="SKU5"/>
    <n v="1.6999760138659299"/>
    <n v="87"/>
    <n v="147"/>
    <n v="2828.3487459757498"/>
    <s v="Non-binary"/>
    <n v="90"/>
    <n v="27"/>
    <n v="66"/>
    <n v="3"/>
    <s v="Carrier B"/>
    <n v="4.4440988643822896"/>
    <s v="Supplier 4"/>
    <s v="Bangalore"/>
    <n v="10"/>
    <n v="104"/>
    <n v="17"/>
    <n v="56.766475557431797"/>
    <s v="Fail"/>
    <n v="2.7791935115711599"/>
    <x v="0"/>
    <s v="Route A"/>
    <n v="235.461236735537"/>
    <n v="2767.1381715539355"/>
    <n v="0.97835819415519165"/>
  </r>
  <r>
    <s v="skincare"/>
    <s v="SKU6"/>
    <n v="4.0783328631079403"/>
    <n v="48"/>
    <n v="65"/>
    <n v="7823.4765595317303"/>
    <s v="Male"/>
    <n v="11"/>
    <n v="15"/>
    <n v="58"/>
    <n v="8"/>
    <s v="Carrier C"/>
    <n v="3.8807633029519999"/>
    <s v="Supplier 3"/>
    <s v="Kolkata"/>
    <n v="14"/>
    <n v="314"/>
    <n v="24"/>
    <n v="1.0850685695870601"/>
    <s v="Pending"/>
    <n v="1.0009106193041299"/>
    <x v="3"/>
    <s v="Route A"/>
    <n v="134.36909686103101"/>
    <n v="7818.5107276591916"/>
    <n v="0.99936526532229608"/>
  </r>
  <r>
    <s v="cosmetics"/>
    <s v="SKU7"/>
    <n v="42.958384382459997"/>
    <n v="59"/>
    <n v="426"/>
    <n v="8496.1038130898305"/>
    <s v="Female"/>
    <n v="93"/>
    <n v="17"/>
    <n v="11"/>
    <n v="1"/>
    <s v="Carrier B"/>
    <n v="2.3483387844177801"/>
    <s v="Supplier 4"/>
    <s v="Bangalore"/>
    <n v="22"/>
    <n v="564"/>
    <n v="1"/>
    <n v="99.466108603599096"/>
    <s v="Fail"/>
    <n v="0.39817718685065001"/>
    <x v="0"/>
    <s v="Route C"/>
    <n v="802.05631181755803"/>
    <n v="8394.2893657018139"/>
    <n v="0.98801633670822708"/>
  </r>
  <r>
    <s v="cosmetics"/>
    <s v="SKU8"/>
    <n v="68.717596748527299"/>
    <n v="78"/>
    <n v="150"/>
    <n v="7517.3632106311197"/>
    <s v="Female"/>
    <n v="5"/>
    <n v="10"/>
    <n v="15"/>
    <n v="7"/>
    <s v="Carrier C"/>
    <n v="3.4047338570830199"/>
    <s v="Supplier 4"/>
    <s v="Mumbai"/>
    <n v="13"/>
    <n v="769"/>
    <n v="8"/>
    <n v="11.423027139565599"/>
    <s v="Pending"/>
    <n v="2.7098626911099601"/>
    <x v="3"/>
    <s v="Route B"/>
    <n v="505.55713422546398"/>
    <n v="7502.5354496344717"/>
    <n v="0.99802753165156655"/>
  </r>
  <r>
    <s v="skincare"/>
    <s v="SKU9"/>
    <n v="64.0157329412785"/>
    <n v="35"/>
    <n v="980"/>
    <n v="4971.1459875855498"/>
    <s v="Unknown"/>
    <n v="14"/>
    <n v="27"/>
    <n v="83"/>
    <n v="1"/>
    <s v="Carrier A"/>
    <n v="7.1666452910482104"/>
    <s v="Supplier 2"/>
    <s v="Chennai"/>
    <n v="29"/>
    <n v="963"/>
    <n v="23"/>
    <n v="47.957601634951502"/>
    <s v="Pending"/>
    <n v="3.8446144787675798"/>
    <x v="2"/>
    <s v="Route B"/>
    <n v="995.92946149864099"/>
    <n v="4916.0217406595502"/>
    <n v="0.98891115910422633"/>
  </r>
  <r>
    <s v="skincare"/>
    <s v="SKU10"/>
    <n v="15.707795681912099"/>
    <n v="11"/>
    <n v="996"/>
    <n v="2330.9658020919401"/>
    <s v="Non-binary"/>
    <n v="51"/>
    <n v="13"/>
    <n v="80"/>
    <n v="2"/>
    <s v="Carrier C"/>
    <n v="8.6732112112786108"/>
    <s v="Supplier 5"/>
    <s v="Kolkata"/>
    <n v="18"/>
    <n v="830"/>
    <n v="5"/>
    <n v="96.527352785310896"/>
    <s v="Pass"/>
    <n v="1.72731392835594"/>
    <x v="0"/>
    <s v="Route B"/>
    <n v="806.10317770292295"/>
    <n v="2225.7652380953505"/>
    <n v="0.95486825079021898"/>
  </r>
  <r>
    <s v="skincare"/>
    <s v="SKU11"/>
    <n v="90.635459982288594"/>
    <n v="95"/>
    <n v="960"/>
    <n v="6099.9441155814502"/>
    <s v="Female"/>
    <n v="46"/>
    <n v="23"/>
    <n v="60"/>
    <n v="1"/>
    <s v="Carrier A"/>
    <n v="4.5239431243166601"/>
    <s v="Supplier 2"/>
    <s v="Kolkata"/>
    <n v="28"/>
    <n v="362"/>
    <n v="11"/>
    <n v="27.5923630866636"/>
    <s v="Pending"/>
    <n v="2.1169821372994301E-2"/>
    <x v="1"/>
    <s v="Route A"/>
    <n v="126.72303340940699"/>
    <n v="6067.8278093704703"/>
    <n v="0.99473498353387479"/>
  </r>
  <r>
    <s v="haircare"/>
    <s v="SKU12"/>
    <n v="71.213389075359999"/>
    <n v="41"/>
    <n v="336"/>
    <n v="2873.74144602144"/>
    <s v="Unknown"/>
    <n v="100"/>
    <n v="30"/>
    <n v="85"/>
    <n v="4"/>
    <s v="Carrier A"/>
    <n v="1.32527401018452"/>
    <s v="Supplier 4"/>
    <s v="Kolkata"/>
    <n v="3"/>
    <n v="563"/>
    <n v="3"/>
    <n v="32.321286213424003"/>
    <s v="Fail"/>
    <n v="2.1612537475559099"/>
    <x v="0"/>
    <s v="Route B"/>
    <n v="402.96878907376998"/>
    <n v="2840.0948857978315"/>
    <n v="0.98829172322715719"/>
  </r>
  <r>
    <s v="skincare"/>
    <s v="SKU13"/>
    <n v="16.160393317379899"/>
    <n v="5"/>
    <n v="249"/>
    <n v="4052.7384162378598"/>
    <s v="Male"/>
    <n v="80"/>
    <n v="8"/>
    <n v="48"/>
    <n v="9"/>
    <s v="Carrier A"/>
    <n v="9.5372830611083295"/>
    <s v="Supplier 5"/>
    <s v="Bangalore"/>
    <n v="23"/>
    <n v="173"/>
    <n v="10"/>
    <n v="97.829050110173199"/>
    <s v="Pending"/>
    <n v="1.63107423007153"/>
    <x v="0"/>
    <s v="Route B"/>
    <n v="547.24100516096803"/>
    <n v="3945.3720830665784"/>
    <n v="0.97350770709969747"/>
  </r>
  <r>
    <s v="skincare"/>
    <s v="SKU14"/>
    <n v="99.171328638624104"/>
    <n v="26"/>
    <n v="562"/>
    <n v="8653.5709264697998"/>
    <s v="Non-binary"/>
    <n v="54"/>
    <n v="29"/>
    <n v="78"/>
    <n v="5"/>
    <s v="Carrier B"/>
    <n v="2.0397701894493299"/>
    <s v="Supplier 1"/>
    <s v="Kolkata"/>
    <n v="25"/>
    <n v="558"/>
    <n v="14"/>
    <n v="5.7914366298629796"/>
    <s v="Pending"/>
    <n v="0.100682851565093"/>
    <x v="1"/>
    <s v="Route B"/>
    <n v="929.23528996088896"/>
    <n v="8645.739719650488"/>
    <n v="0.99909503176366676"/>
  </r>
  <r>
    <s v="skincare"/>
    <s v="SKU15"/>
    <n v="36.989244928626903"/>
    <n v="94"/>
    <n v="469"/>
    <n v="5442.0867853976697"/>
    <s v="Non-binary"/>
    <n v="9"/>
    <n v="8"/>
    <n v="69"/>
    <n v="7"/>
    <s v="Carrier B"/>
    <n v="2.4220397232752"/>
    <s v="Supplier 1"/>
    <s v="Bangalore"/>
    <n v="14"/>
    <n v="580"/>
    <n v="7"/>
    <n v="97.121281751474299"/>
    <s v="Pass"/>
    <n v="2.2644057611985402"/>
    <x v="3"/>
    <s v="Route B"/>
    <n v="127.861800001625"/>
    <n v="5342.5434639229206"/>
    <n v="0.98170861189831704"/>
  </r>
  <r>
    <s v="skincare"/>
    <s v="SKU16"/>
    <n v="7.5471721097912701"/>
    <n v="74"/>
    <n v="280"/>
    <n v="6453.7979681762799"/>
    <s v="Female"/>
    <n v="2"/>
    <n v="5"/>
    <n v="78"/>
    <n v="1"/>
    <s v="Carrier B"/>
    <n v="4.1913245857054999"/>
    <s v="Supplier 1"/>
    <s v="Bangalore"/>
    <n v="3"/>
    <n v="399"/>
    <n v="21"/>
    <n v="77.106342497849994"/>
    <s v="Pass"/>
    <n v="1.01256308925804"/>
    <x v="1"/>
    <s v="Route A"/>
    <n v="865.52577977123997"/>
    <n v="6372.5003010927239"/>
    <n v="0.98740312797449881"/>
  </r>
  <r>
    <s v="cosmetics"/>
    <s v="SKU17"/>
    <n v="81.462534369237005"/>
    <n v="82"/>
    <n v="126"/>
    <n v="2629.39643484526"/>
    <s v="Female"/>
    <n v="45"/>
    <n v="17"/>
    <n v="85"/>
    <n v="9"/>
    <s v="Carrier C"/>
    <n v="3.5854189582323399"/>
    <s v="Supplier 1"/>
    <s v="Chennai"/>
    <n v="7"/>
    <n v="453"/>
    <n v="16"/>
    <n v="47.679680368355299"/>
    <s v="Fail"/>
    <n v="0.102020754918176"/>
    <x v="1"/>
    <s v="Route C"/>
    <n v="670.93439079241"/>
    <n v="2578.1313355186726"/>
    <n v="0.98050309240279909"/>
  </r>
  <r>
    <s v="haircare"/>
    <s v="SKU18"/>
    <n v="36.4436277704609"/>
    <n v="23"/>
    <n v="620"/>
    <n v="9364.6735050761708"/>
    <s v="Unknown"/>
    <n v="10"/>
    <n v="10"/>
    <n v="46"/>
    <n v="8"/>
    <s v="Carrier C"/>
    <n v="4.3392247141107001"/>
    <s v="Supplier 2"/>
    <s v="Kolkata"/>
    <n v="18"/>
    <n v="374"/>
    <n v="17"/>
    <n v="27.107980854843898"/>
    <s v="Pending"/>
    <n v="2.2319391107292601"/>
    <x v="3"/>
    <s v="Route A"/>
    <n v="593.48025872065102"/>
    <n v="9333.226299507216"/>
    <n v="0.99664193251885302"/>
  </r>
  <r>
    <s v="skincare"/>
    <s v="SKU19"/>
    <n v="51.123870087964697"/>
    <n v="100"/>
    <n v="187"/>
    <n v="2553.4955849912099"/>
    <s v="Unknown"/>
    <n v="48"/>
    <n v="11"/>
    <n v="94"/>
    <n v="3"/>
    <s v="Carrier A"/>
    <n v="4.7426358828418698"/>
    <s v="Supplier 4"/>
    <s v="Chennai"/>
    <n v="20"/>
    <n v="694"/>
    <n v="16"/>
    <n v="82.373320587990193"/>
    <s v="Fail"/>
    <n v="3.64645086541702"/>
    <x v="0"/>
    <s v="Route C"/>
    <n v="477.30763109090299"/>
    <n v="2466.3796285203775"/>
    <n v="0.9658836471138319"/>
  </r>
  <r>
    <s v="skincare"/>
    <s v="SKU20"/>
    <n v="96.341072439963298"/>
    <n v="22"/>
    <n v="320"/>
    <n v="8128.0276968511898"/>
    <s v="Unknown"/>
    <n v="27"/>
    <n v="12"/>
    <n v="68"/>
    <n v="6"/>
    <s v="Carrier A"/>
    <n v="8.8783346509268402"/>
    <s v="Supplier 1"/>
    <s v="Chennai"/>
    <n v="29"/>
    <n v="309"/>
    <n v="6"/>
    <n v="65.686259608488598"/>
    <s v="Pass"/>
    <n v="4.2314165735345304"/>
    <x v="1"/>
    <s v="Route B"/>
    <n v="493.871215316205"/>
    <n v="8053.4631025917743"/>
    <n v="0.99082623767530931"/>
  </r>
  <r>
    <s v="cosmetics"/>
    <s v="SKU21"/>
    <n v="84.893868984950799"/>
    <n v="60"/>
    <n v="601"/>
    <n v="7087.0526963574302"/>
    <s v="Unknown"/>
    <n v="69"/>
    <n v="25"/>
    <n v="7"/>
    <n v="6"/>
    <s v="Carrier B"/>
    <n v="6.0378837692182898"/>
    <s v="Supplier 5"/>
    <s v="Chennai"/>
    <n v="19"/>
    <n v="791"/>
    <n v="4"/>
    <n v="61.735728954160898"/>
    <s v="Pending"/>
    <n v="1.8607567631014899E-2"/>
    <x v="1"/>
    <s v="Route C"/>
    <n v="523.36091472015801"/>
    <n v="7019.2790836340519"/>
    <n v="0.99043698196879326"/>
  </r>
  <r>
    <s v="haircare"/>
    <s v="SKU22"/>
    <n v="27.679780886501899"/>
    <n v="55"/>
    <n v="884"/>
    <n v="2390.8078665561702"/>
    <s v="Unknown"/>
    <n v="71"/>
    <n v="1"/>
    <n v="63"/>
    <n v="10"/>
    <s v="Carrier A"/>
    <n v="9.5676489209230393"/>
    <s v="Supplier 4"/>
    <s v="Kolkata"/>
    <n v="22"/>
    <n v="780"/>
    <n v="28"/>
    <n v="50.120839612977299"/>
    <s v="Fail"/>
    <n v="2.5912754732111098"/>
    <x v="2"/>
    <s v="Route C"/>
    <n v="205.57199582694699"/>
    <n v="2331.1193780222698"/>
    <n v="0.97503417594995678"/>
  </r>
  <r>
    <s v="cosmetics"/>
    <s v="SKU23"/>
    <n v="4.3243411858641601"/>
    <n v="30"/>
    <n v="391"/>
    <n v="8858.3675710114803"/>
    <s v="Unknown"/>
    <n v="84"/>
    <n v="5"/>
    <n v="29"/>
    <n v="7"/>
    <s v="Carrier A"/>
    <n v="2.92485760114555"/>
    <s v="Supplier 5"/>
    <s v="Kolkata"/>
    <n v="11"/>
    <n v="568"/>
    <n v="29"/>
    <n v="98.6099572427038"/>
    <s v="Pending"/>
    <n v="1.3422915627227301"/>
    <x v="2"/>
    <s v="Route A"/>
    <n v="196.329446112412"/>
    <n v="8756.8327561676306"/>
    <n v="0.98853797677394684"/>
  </r>
  <r>
    <s v="haircare"/>
    <s v="SKU24"/>
    <n v="4.1563083593111001"/>
    <n v="32"/>
    <n v="209"/>
    <n v="9049.0778609398894"/>
    <s v="Male"/>
    <n v="4"/>
    <n v="26"/>
    <n v="2"/>
    <n v="8"/>
    <s v="Carrier C"/>
    <n v="9.7412916892843597"/>
    <s v="Supplier 2"/>
    <s v="Bangalore"/>
    <n v="28"/>
    <n v="447"/>
    <n v="3"/>
    <n v="40.382359702924802"/>
    <s v="Pending"/>
    <n v="3.69131029262872"/>
    <x v="1"/>
    <s v="Route A"/>
    <n v="758.72477260293795"/>
    <n v="8998.9542095476809"/>
    <n v="0.99446091058531327"/>
  </r>
  <r>
    <s v="haircare"/>
    <s v="SKU25"/>
    <n v="39.629343985092603"/>
    <n v="73"/>
    <n v="142"/>
    <n v="2174.7770543506499"/>
    <s v="Male"/>
    <n v="82"/>
    <n v="11"/>
    <n v="52"/>
    <n v="3"/>
    <s v="Carrier C"/>
    <n v="2.2310736812817198"/>
    <s v="Supplier 4"/>
    <s v="Kolkata"/>
    <n v="19"/>
    <n v="934"/>
    <n v="23"/>
    <n v="78.280383118415301"/>
    <s v="Pending"/>
    <n v="3.79723121711418"/>
    <x v="0"/>
    <s v="Route B"/>
    <n v="458.53594573920901"/>
    <n v="2094.2655975509529"/>
    <n v="0.96297944350726272"/>
  </r>
  <r>
    <s v="haircare"/>
    <s v="SKU26"/>
    <n v="97.446946617892806"/>
    <n v="9"/>
    <n v="353"/>
    <n v="3716.49332589403"/>
    <s v="Male"/>
    <n v="59"/>
    <n v="16"/>
    <n v="48"/>
    <n v="4"/>
    <s v="Carrier B"/>
    <n v="6.5075486210785503"/>
    <s v="Supplier 2"/>
    <s v="Bangalore"/>
    <n v="26"/>
    <n v="171"/>
    <n v="4"/>
    <n v="15.972229757181699"/>
    <s v="Pass"/>
    <n v="2.1193197367249201"/>
    <x v="2"/>
    <s v="Route A"/>
    <n v="617.86691645837698"/>
    <n v="3694.0135475157699"/>
    <n v="0.99395134703414212"/>
  </r>
  <r>
    <s v="cosmetics"/>
    <s v="SKU27"/>
    <n v="92.557360812401996"/>
    <n v="42"/>
    <n v="352"/>
    <n v="2686.4572235759802"/>
    <s v="Unknown"/>
    <n v="47"/>
    <n v="9"/>
    <n v="62"/>
    <n v="8"/>
    <s v="Carrier C"/>
    <n v="7.4067509529980704"/>
    <s v="Supplier 5"/>
    <s v="Mumbai"/>
    <n v="25"/>
    <n v="291"/>
    <n v="4"/>
    <n v="10.5282450700421"/>
    <s v="Fail"/>
    <n v="2.8646678378833701"/>
    <x v="3"/>
    <s v="Route B"/>
    <n v="762.45918215568304"/>
    <n v="2668.52222755294"/>
    <n v="0.99332392272408243"/>
  </r>
  <r>
    <s v="cosmetics"/>
    <s v="SKU28"/>
    <n v="2.3972747055971402"/>
    <n v="12"/>
    <n v="394"/>
    <n v="6117.3246150839896"/>
    <s v="Female"/>
    <n v="48"/>
    <n v="15"/>
    <n v="24"/>
    <n v="4"/>
    <s v="Carrier B"/>
    <n v="9.8981405080692202"/>
    <s v="Supplier 1"/>
    <s v="Mumbai"/>
    <n v="13"/>
    <n v="171"/>
    <n v="7"/>
    <n v="59.429381810691503"/>
    <s v="Fail"/>
    <n v="0.81575707929567198"/>
    <x v="1"/>
    <s v="Route A"/>
    <n v="123.437027511827"/>
    <n v="6047.9970927652284"/>
    <n v="0.9886670192149335"/>
  </r>
  <r>
    <s v="cosmetics"/>
    <s v="SKU29"/>
    <n v="63.447559185207297"/>
    <n v="3"/>
    <n v="253"/>
    <n v="8318.9031946171708"/>
    <s v="Female"/>
    <n v="45"/>
    <n v="5"/>
    <n v="67"/>
    <n v="7"/>
    <s v="Carrier B"/>
    <n v="8.1009731453970293"/>
    <s v="Supplier 1"/>
    <s v="Kolkata"/>
    <n v="16"/>
    <n v="329"/>
    <n v="7"/>
    <n v="39.292875586065698"/>
    <s v="Pass"/>
    <n v="3.8780989365884802"/>
    <x v="0"/>
    <s v="Route B"/>
    <n v="764.93537594070801"/>
    <n v="8271.5093458857082"/>
    <n v="0.99430287291212505"/>
  </r>
  <r>
    <s v="haircare"/>
    <s v="SKU30"/>
    <n v="8.0228592105263896"/>
    <n v="10"/>
    <n v="327"/>
    <n v="2766.3423668660798"/>
    <s v="Male"/>
    <n v="60"/>
    <n v="26"/>
    <n v="35"/>
    <n v="7"/>
    <s v="Carrier B"/>
    <n v="8.9545283153180097"/>
    <s v="Supplier 4"/>
    <s v="Kolkata"/>
    <n v="27"/>
    <n v="806"/>
    <n v="30"/>
    <n v="51.634893400109299"/>
    <s v="Pending"/>
    <n v="0.96539470535239302"/>
    <x v="0"/>
    <s v="Route C"/>
    <n v="880.08098824716103"/>
    <n v="2705.7529451506525"/>
    <n v="0.97809764169426816"/>
  </r>
  <r>
    <s v="skincare"/>
    <s v="SKU31"/>
    <n v="50.847393051718697"/>
    <n v="28"/>
    <n v="168"/>
    <n v="9655.1351027193905"/>
    <s v="Male"/>
    <n v="6"/>
    <n v="17"/>
    <n v="44"/>
    <n v="4"/>
    <s v="Carrier B"/>
    <n v="2.6796609649813998"/>
    <s v="Supplier 3"/>
    <s v="Chennai"/>
    <n v="24"/>
    <n v="461"/>
    <n v="8"/>
    <n v="60.251145661598002"/>
    <s v="Pending"/>
    <n v="2.9890000066550702"/>
    <x v="2"/>
    <s v="Route C"/>
    <n v="609.379206618426"/>
    <n v="9592.204296092812"/>
    <n v="0.99348214126917256"/>
  </r>
  <r>
    <s v="skincare"/>
    <s v="SKU32"/>
    <n v="79.209936015656695"/>
    <n v="43"/>
    <n v="781"/>
    <n v="9571.5504873278096"/>
    <s v="Unknown"/>
    <n v="89"/>
    <n v="13"/>
    <n v="64"/>
    <n v="4"/>
    <s v="Carrier C"/>
    <n v="6.5991049012385803"/>
    <s v="Supplier 3"/>
    <s v="Kolkata"/>
    <n v="30"/>
    <n v="737"/>
    <n v="7"/>
    <n v="29.6924671537497"/>
    <s v="Pass"/>
    <n v="1.94603611938611"/>
    <x v="0"/>
    <s v="Route A"/>
    <n v="761.17390951487698"/>
    <n v="9535.2589152728215"/>
    <n v="0.99620839151368046"/>
  </r>
  <r>
    <s v="cosmetics"/>
    <s v="SKU33"/>
    <n v="64.795435000155607"/>
    <n v="63"/>
    <n v="616"/>
    <n v="5149.9983504080301"/>
    <s v="Non-binary"/>
    <n v="4"/>
    <n v="17"/>
    <n v="95"/>
    <n v="9"/>
    <s v="Carrier C"/>
    <n v="4.85827050343664"/>
    <s v="Supplier 5"/>
    <s v="Chennai"/>
    <n v="1"/>
    <n v="251"/>
    <n v="23"/>
    <n v="23.853427512896101"/>
    <s v="Fail"/>
    <n v="3.54104601225092"/>
    <x v="3"/>
    <s v="Route A"/>
    <n v="371.25529551987103"/>
    <n v="5121.2866523916973"/>
    <n v="0.99442491122078558"/>
  </r>
  <r>
    <s v="skincare"/>
    <s v="SKU34"/>
    <n v="37.467592329842397"/>
    <n v="96"/>
    <n v="602"/>
    <n v="9061.7108955077201"/>
    <s v="Unknown"/>
    <n v="1"/>
    <n v="26"/>
    <n v="21"/>
    <n v="7"/>
    <s v="Carrier A"/>
    <n v="1.0194875708221101"/>
    <s v="Supplier 1"/>
    <s v="Chennai"/>
    <n v="4"/>
    <n v="452"/>
    <n v="10"/>
    <n v="10.754272815029299"/>
    <s v="Pass"/>
    <n v="0.64660455937205397"/>
    <x v="0"/>
    <s v="Route B"/>
    <n v="510.35800043352299"/>
    <n v="9049.9371351218688"/>
    <n v="0.99870071330661325"/>
  </r>
  <r>
    <s v="cosmetics"/>
    <s v="SKU35"/>
    <n v="84.957786816350406"/>
    <n v="11"/>
    <n v="449"/>
    <n v="6541.3293448024597"/>
    <s v="Female"/>
    <n v="42"/>
    <n v="27"/>
    <n v="85"/>
    <n v="8"/>
    <s v="Carrier C"/>
    <n v="5.2881899903273997"/>
    <s v="Supplier 1"/>
    <s v="Delhi"/>
    <n v="3"/>
    <n v="367"/>
    <n v="2"/>
    <n v="58.004787044743701"/>
    <s v="Pass"/>
    <n v="0.54115409806058101"/>
    <x v="3"/>
    <s v="Route C"/>
    <n v="553.42047123035502"/>
    <n v="6478.0363677673886"/>
    <n v="0.99032414151637815"/>
  </r>
  <r>
    <s v="skincare"/>
    <s v="SKU36"/>
    <n v="9.81300257875405"/>
    <n v="34"/>
    <n v="963"/>
    <n v="7573.4024578487297"/>
    <s v="Female"/>
    <n v="18"/>
    <n v="23"/>
    <n v="28"/>
    <n v="3"/>
    <s v="Carrier B"/>
    <n v="2.1079512671590801"/>
    <s v="Supplier 2"/>
    <s v="Delhi"/>
    <n v="26"/>
    <n v="671"/>
    <n v="19"/>
    <n v="45.531364237162101"/>
    <s v="Fail"/>
    <n v="3.8055333792433501"/>
    <x v="1"/>
    <s v="Route C"/>
    <n v="403.80897424817999"/>
    <n v="7525.7631423444082"/>
    <n v="0.99370965483883"/>
  </r>
  <r>
    <s v="skincare"/>
    <s v="SKU37"/>
    <n v="23.3998447526143"/>
    <n v="5"/>
    <n v="963"/>
    <n v="2438.3399304700201"/>
    <s v="Female"/>
    <n v="25"/>
    <n v="8"/>
    <n v="21"/>
    <n v="9"/>
    <s v="Carrier A"/>
    <n v="1.53265527359043"/>
    <s v="Supplier 3"/>
    <s v="Kolkata"/>
    <n v="24"/>
    <n v="867"/>
    <n v="15"/>
    <n v="34.343277465075303"/>
    <s v="Pending"/>
    <n v="2.61028808484811"/>
    <x v="3"/>
    <s v="Route A"/>
    <n v="183.932968043594"/>
    <n v="2402.4639977313541"/>
    <n v="0.98528673861656746"/>
  </r>
  <r>
    <s v="cosmetics"/>
    <s v="SKU38"/>
    <n v="52.075930682707799"/>
    <n v="75"/>
    <n v="705"/>
    <n v="9692.3180402184298"/>
    <s v="Non-binary"/>
    <n v="69"/>
    <n v="1"/>
    <n v="88"/>
    <n v="5"/>
    <s v="Carrier B"/>
    <n v="9.2359314372492207"/>
    <s v="Supplier 5"/>
    <s v="Mumbai"/>
    <n v="10"/>
    <n v="841"/>
    <n v="12"/>
    <n v="5.9306936455283097"/>
    <s v="Pending"/>
    <n v="0.613326899164507"/>
    <x v="1"/>
    <s v="Route B"/>
    <n v="339.67286994860598"/>
    <n v="9677.1514151356514"/>
    <n v="0.99843519114624135"/>
  </r>
  <r>
    <s v="skincare"/>
    <s v="SKU39"/>
    <n v="19.127477265823199"/>
    <n v="26"/>
    <n v="176"/>
    <n v="1912.4656631007599"/>
    <s v="Female"/>
    <n v="78"/>
    <n v="29"/>
    <n v="34"/>
    <n v="3"/>
    <s v="Carrier A"/>
    <n v="5.5625037788303802"/>
    <s v="Supplier 2"/>
    <s v="Kolkata"/>
    <n v="30"/>
    <n v="791"/>
    <n v="6"/>
    <n v="9.0058074287816403"/>
    <s v="Fail"/>
    <n v="1.4519722039968099"/>
    <x v="1"/>
    <s v="Route B"/>
    <n v="653.67299455203295"/>
    <n v="1897.8973518931477"/>
    <n v="0.99238244561003419"/>
  </r>
  <r>
    <s v="skincare"/>
    <s v="SKU40"/>
    <n v="80.541424170940303"/>
    <n v="97"/>
    <n v="933"/>
    <n v="5724.9593504562599"/>
    <s v="Female"/>
    <n v="90"/>
    <n v="20"/>
    <n v="39"/>
    <n v="8"/>
    <s v="Carrier C"/>
    <n v="7.2295951397364702"/>
    <s v="Supplier 1"/>
    <s v="Kolkata"/>
    <n v="18"/>
    <n v="793"/>
    <n v="1"/>
    <n v="88.179407104217404"/>
    <s v="Pending"/>
    <n v="4.2132694305865597"/>
    <x v="0"/>
    <s v="Route A"/>
    <n v="529.80872398069096"/>
    <n v="5629.5503482123058"/>
    <n v="0.98333455376650836"/>
  </r>
  <r>
    <s v="skincare"/>
    <s v="SKU41"/>
    <n v="99.113291615317095"/>
    <n v="35"/>
    <n v="556"/>
    <n v="5521.2052590109697"/>
    <s v="Female"/>
    <n v="64"/>
    <n v="19"/>
    <n v="38"/>
    <n v="8"/>
    <s v="Carrier B"/>
    <n v="5.7732637437666501"/>
    <s v="Supplier 4"/>
    <s v="Chennai"/>
    <n v="18"/>
    <n v="892"/>
    <n v="7"/>
    <n v="95.332064548772493"/>
    <s v="Fail"/>
    <n v="4.5302262398259602E-2"/>
    <x v="3"/>
    <s v="Route A"/>
    <n v="275.52437113130901"/>
    <n v="5420.0999307184302"/>
    <n v="0.98168781569431263"/>
  </r>
  <r>
    <s v="skincare"/>
    <s v="SKU42"/>
    <n v="46.529167614516702"/>
    <n v="98"/>
    <n v="155"/>
    <n v="1839.60942585676"/>
    <s v="Female"/>
    <n v="22"/>
    <n v="27"/>
    <n v="57"/>
    <n v="4"/>
    <s v="Carrier C"/>
    <n v="7.5262483268515004"/>
    <s v="Supplier 5"/>
    <s v="Bangalore"/>
    <n v="26"/>
    <n v="179"/>
    <n v="7"/>
    <n v="96.422820639571796"/>
    <s v="Fail"/>
    <n v="4.9392552886209398"/>
    <x v="0"/>
    <s v="Route A"/>
    <n v="635.65712050199102"/>
    <n v="1735.6603568903365"/>
    <n v="0.94349394632069172"/>
  </r>
  <r>
    <s v="haircare"/>
    <s v="SKU43"/>
    <n v="11.7432717763092"/>
    <n v="6"/>
    <n v="598"/>
    <n v="5737.4255991190203"/>
    <s v="Unknown"/>
    <n v="36"/>
    <n v="29"/>
    <n v="85"/>
    <n v="9"/>
    <s v="Carrier B"/>
    <n v="3.6940212683884499"/>
    <s v="Supplier 5"/>
    <s v="Mumbai"/>
    <n v="1"/>
    <n v="206"/>
    <n v="23"/>
    <n v="26.2773659573324"/>
    <s v="Pending"/>
    <n v="0.37230476798509698"/>
    <x v="1"/>
    <s v="Route A"/>
    <n v="716.04411975933999"/>
    <n v="5707.4542118932995"/>
    <n v="0.99477616106597999"/>
  </r>
  <r>
    <s v="cosmetics"/>
    <s v="SKU44"/>
    <n v="51.355790913110297"/>
    <n v="34"/>
    <n v="919"/>
    <n v="7152.28604943551"/>
    <s v="Female"/>
    <n v="13"/>
    <n v="19"/>
    <n v="72"/>
    <n v="6"/>
    <s v="Carrier C"/>
    <n v="7.5774496573766896"/>
    <s v="Supplier 2"/>
    <s v="Delhi"/>
    <n v="7"/>
    <n v="834"/>
    <n v="18"/>
    <n v="22.554106620887701"/>
    <s v="Fail"/>
    <n v="2.9626263204548802"/>
    <x v="2"/>
    <s v="Route A"/>
    <n v="610.45326961922694"/>
    <n v="7122.1544931572453"/>
    <n v="0.99578714328957207"/>
  </r>
  <r>
    <s v="haircare"/>
    <s v="SKU45"/>
    <n v="33.784138033065503"/>
    <n v="1"/>
    <n v="24"/>
    <n v="5267.9568075105199"/>
    <s v="Male"/>
    <n v="93"/>
    <n v="7"/>
    <n v="52"/>
    <n v="6"/>
    <s v="Carrier B"/>
    <n v="5.2151550087119096"/>
    <s v="Supplier 2"/>
    <s v="Chennai"/>
    <n v="25"/>
    <n v="794"/>
    <n v="25"/>
    <n v="66.312544439991598"/>
    <s v="Pass"/>
    <n v="3.2196046120841002"/>
    <x v="2"/>
    <s v="Route A"/>
    <n v="495.30569702847299"/>
    <n v="5196.4291080618159"/>
    <n v="0.98642211732891827"/>
  </r>
  <r>
    <s v="haircare"/>
    <s v="SKU46"/>
    <n v="27.082207199888899"/>
    <n v="75"/>
    <n v="859"/>
    <n v="2556.7673606335902"/>
    <s v="Non-binary"/>
    <n v="92"/>
    <n v="29"/>
    <n v="6"/>
    <n v="8"/>
    <s v="Carrier B"/>
    <n v="4.0709558370840799"/>
    <s v="Supplier 3"/>
    <s v="Chennai"/>
    <n v="18"/>
    <n v="870"/>
    <n v="23"/>
    <n v="77.322353211051606"/>
    <s v="Pending"/>
    <n v="3.6486105925361998"/>
    <x v="0"/>
    <s v="Route B"/>
    <n v="380.43593711196399"/>
    <n v="2475.3740515854547"/>
    <n v="0.96816553969620234"/>
  </r>
  <r>
    <s v="skincare"/>
    <s v="SKU47"/>
    <n v="95.712135880936003"/>
    <n v="93"/>
    <n v="910"/>
    <n v="7089.4742499341801"/>
    <s v="Male"/>
    <n v="4"/>
    <n v="15"/>
    <n v="51"/>
    <n v="9"/>
    <s v="Carrier B"/>
    <n v="8.9787507559499709"/>
    <s v="Supplier 1"/>
    <s v="Kolkata"/>
    <n v="10"/>
    <n v="964"/>
    <n v="20"/>
    <n v="19.7129929112936"/>
    <s v="Pending"/>
    <n v="0.38057358671321301"/>
    <x v="2"/>
    <s v="Route A"/>
    <n v="581.60235505058597"/>
    <n v="7060.7825062669363"/>
    <n v="0.99595290953098392"/>
  </r>
  <r>
    <s v="haircare"/>
    <s v="SKU48"/>
    <n v="76.035544426891704"/>
    <n v="28"/>
    <n v="29"/>
    <n v="7397.0710045871801"/>
    <s v="Non-binary"/>
    <n v="30"/>
    <n v="16"/>
    <n v="9"/>
    <n v="3"/>
    <s v="Carrier C"/>
    <n v="7.0958331565551296"/>
    <s v="Supplier 2"/>
    <s v="Mumbai"/>
    <n v="9"/>
    <n v="109"/>
    <n v="18"/>
    <n v="23.126363582464698"/>
    <s v="Fail"/>
    <n v="1.6981125407144"/>
    <x v="2"/>
    <s v="Route B"/>
    <n v="768.65191395437"/>
    <n v="7366.8488078481605"/>
    <n v="0.9959143021987652"/>
  </r>
  <r>
    <s v="cosmetics"/>
    <s v="SKU49"/>
    <n v="78.897913205639995"/>
    <n v="19"/>
    <n v="99"/>
    <n v="8001.6132065190004"/>
    <s v="Unknown"/>
    <n v="97"/>
    <n v="24"/>
    <n v="9"/>
    <n v="6"/>
    <s v="Carrier C"/>
    <n v="2.5056210329009101"/>
    <s v="Supplier 5"/>
    <s v="Delhi"/>
    <n v="28"/>
    <n v="177"/>
    <n v="28"/>
    <n v="14.1478154439792"/>
    <s v="Pass"/>
    <n v="2.8258139854001301"/>
    <x v="2"/>
    <s v="Route A"/>
    <n v="336.89016851997701"/>
    <n v="7984.95977004212"/>
    <n v="0.99791874012813908"/>
  </r>
  <r>
    <s v="cosmetics"/>
    <s v="SKU50"/>
    <n v="14.203484264803"/>
    <n v="91"/>
    <n v="633"/>
    <n v="5910.8853896688897"/>
    <s v="Female"/>
    <n v="31"/>
    <n v="23"/>
    <n v="82"/>
    <n v="10"/>
    <s v="Carrier A"/>
    <n v="6.2478609149759903"/>
    <s v="Supplier 2"/>
    <s v="Delhi"/>
    <n v="20"/>
    <n v="306"/>
    <n v="21"/>
    <n v="45.178757924634503"/>
    <s v="Fail"/>
    <n v="4.7548008046711798"/>
    <x v="2"/>
    <s v="Route B"/>
    <n v="496.24865029194001"/>
    <n v="5859.4587708292793"/>
    <n v="0.99129967586082879"/>
  </r>
  <r>
    <s v="haircare"/>
    <s v="SKU51"/>
    <n v="26.700760972461701"/>
    <n v="61"/>
    <n v="154"/>
    <n v="9866.4654579796897"/>
    <s v="Male"/>
    <n v="100"/>
    <n v="4"/>
    <n v="52"/>
    <n v="1"/>
    <s v="Carrier A"/>
    <n v="4.78300055794766"/>
    <s v="Supplier 5"/>
    <s v="Bangalore"/>
    <n v="18"/>
    <n v="673"/>
    <n v="28"/>
    <n v="14.190328344569901"/>
    <s v="Pending"/>
    <n v="1.77295117208355"/>
    <x v="0"/>
    <s v="Route A"/>
    <n v="694.98231757944495"/>
    <n v="9847.4921290771726"/>
    <n v="0.99807698826055569"/>
  </r>
  <r>
    <s v="skincare"/>
    <s v="SKU52"/>
    <n v="98.031829656465007"/>
    <n v="1"/>
    <n v="820"/>
    <n v="9435.7626089121295"/>
    <s v="Male"/>
    <n v="64"/>
    <n v="11"/>
    <n v="11"/>
    <n v="1"/>
    <s v="Carrier B"/>
    <n v="8.6310521797689397"/>
    <s v="Supplier 1"/>
    <s v="Mumbai"/>
    <n v="10"/>
    <n v="727"/>
    <n v="27"/>
    <n v="9.1668491485971497"/>
    <s v="Pending"/>
    <n v="2.1224716191438202"/>
    <x v="1"/>
    <s v="Route C"/>
    <n v="602.89849883838303"/>
    <n v="9417.964707583762"/>
    <n v="0.99811378241843884"/>
  </r>
  <r>
    <s v="skincare"/>
    <s v="SKU53"/>
    <n v="30.3414707112142"/>
    <n v="93"/>
    <n v="242"/>
    <n v="8232.3348294258194"/>
    <s v="Male"/>
    <n v="96"/>
    <n v="25"/>
    <n v="54"/>
    <n v="3"/>
    <s v="Carrier B"/>
    <n v="1.0134865660958901"/>
    <s v="Supplier 1"/>
    <s v="Delhi"/>
    <n v="1"/>
    <n v="631"/>
    <n v="17"/>
    <n v="83.344058991677898"/>
    <s v="Pending"/>
    <n v="1.41034757607602"/>
    <x v="1"/>
    <s v="Route B"/>
    <n v="750.73784066827"/>
    <n v="8147.9772838680456"/>
    <n v="0.98975290153939743"/>
  </r>
  <r>
    <s v="haircare"/>
    <s v="SKU54"/>
    <n v="31.1462431602408"/>
    <n v="11"/>
    <n v="622"/>
    <n v="6088.0214799408504"/>
    <s v="Non-binary"/>
    <n v="33"/>
    <n v="22"/>
    <n v="61"/>
    <n v="3"/>
    <s v="Carrier B"/>
    <n v="4.3051034712876302"/>
    <s v="Supplier 1"/>
    <s v="Kolkata"/>
    <n v="26"/>
    <n v="497"/>
    <n v="29"/>
    <n v="30.186023375822501"/>
    <s v="Pass"/>
    <n v="2.4787719755397402"/>
    <x v="0"/>
    <s v="Route B"/>
    <n v="814.06999658218695"/>
    <n v="6053.5303530937399"/>
    <n v="0.9943345917945996"/>
  </r>
  <r>
    <s v="haircare"/>
    <s v="SKU55"/>
    <n v="79.855058340789398"/>
    <n v="16"/>
    <n v="701"/>
    <n v="2925.6751703038099"/>
    <s v="Male"/>
    <n v="97"/>
    <n v="11"/>
    <n v="11"/>
    <n v="5"/>
    <s v="Carrier A"/>
    <n v="5.0143649550309002"/>
    <s v="Supplier 2"/>
    <s v="Delhi"/>
    <n v="27"/>
    <n v="918"/>
    <n v="5"/>
    <n v="30.323545256616502"/>
    <s v="Fail"/>
    <n v="4.5489196593963799"/>
    <x v="3"/>
    <s v="Route B"/>
    <n v="323.01292795247798"/>
    <n v="2890.3372600921625"/>
    <n v="0.98792145123616792"/>
  </r>
  <r>
    <s v="skincare"/>
    <s v="SKU56"/>
    <n v="20.9863860370433"/>
    <n v="90"/>
    <n v="93"/>
    <n v="4767.0204843441297"/>
    <s v="Non-binary"/>
    <n v="25"/>
    <n v="23"/>
    <n v="83"/>
    <n v="5"/>
    <s v="Carrier C"/>
    <n v="1.77442971407173"/>
    <s v="Supplier 1"/>
    <s v="Mumbai"/>
    <n v="24"/>
    <n v="826"/>
    <n v="28"/>
    <n v="12.8362845728327"/>
    <s v="Pass"/>
    <n v="1.1737554953874501"/>
    <x v="1"/>
    <s v="Route B"/>
    <n v="832.210808706021"/>
    <n v="4752.4097700572256"/>
    <n v="0.99693504268863775"/>
  </r>
  <r>
    <s v="haircare"/>
    <s v="SKU57"/>
    <n v="49.263205350734097"/>
    <n v="65"/>
    <n v="227"/>
    <n v="1605.8669003924001"/>
    <s v="Unknown"/>
    <n v="5"/>
    <n v="18"/>
    <n v="51"/>
    <n v="1"/>
    <s v="Carrier B"/>
    <n v="9.1605585353818704"/>
    <s v="Supplier 2"/>
    <s v="Delhi"/>
    <n v="21"/>
    <n v="588"/>
    <n v="25"/>
    <n v="67.779622987078099"/>
    <s v="Pending"/>
    <n v="2.5111748302126999"/>
    <x v="2"/>
    <s v="Route A"/>
    <n v="482.19123860252802"/>
    <n v="1528.9267188699403"/>
    <n v="0.95208807062175627"/>
  </r>
  <r>
    <s v="skincare"/>
    <s v="SKU58"/>
    <n v="59.841561377289302"/>
    <n v="81"/>
    <n v="896"/>
    <n v="2021.1498103371"/>
    <s v="Non-binary"/>
    <n v="10"/>
    <n v="5"/>
    <n v="44"/>
    <n v="7"/>
    <s v="Carrier A"/>
    <n v="4.9384385647120901"/>
    <s v="Supplier 3"/>
    <s v="Delhi"/>
    <n v="18"/>
    <n v="396"/>
    <n v="7"/>
    <n v="65.047415094691402"/>
    <s v="Fail"/>
    <n v="1.7303747198591899"/>
    <x v="0"/>
    <s v="Route B"/>
    <n v="110.364335231364"/>
    <n v="1951.1639566776967"/>
    <n v="0.96537324779120126"/>
  </r>
  <r>
    <s v="cosmetics"/>
    <s v="SKU59"/>
    <n v="63.828398347710902"/>
    <n v="30"/>
    <n v="484"/>
    <n v="1061.6185230132801"/>
    <s v="Non-binary"/>
    <n v="100"/>
    <n v="16"/>
    <n v="26"/>
    <n v="7"/>
    <s v="Carrier B"/>
    <n v="7.2937225968677204"/>
    <s v="Supplier 1"/>
    <s v="Kolkata"/>
    <n v="11"/>
    <n v="176"/>
    <n v="4"/>
    <n v="1.90076224351945"/>
    <s v="Fail"/>
    <n v="0.44719401546382298"/>
    <x v="1"/>
    <s v="Route A"/>
    <n v="312.57427361009297"/>
    <n v="1052.424038172893"/>
    <n v="0.99133918197443505"/>
  </r>
  <r>
    <s v="skincare"/>
    <s v="SKU60"/>
    <n v="17.028027920188698"/>
    <n v="16"/>
    <n v="380"/>
    <n v="8864.0843495864301"/>
    <s v="Female"/>
    <n v="41"/>
    <n v="27"/>
    <n v="72"/>
    <n v="8"/>
    <s v="Carrier C"/>
    <n v="4.3813681581023101"/>
    <s v="Supplier 4"/>
    <s v="Mumbai"/>
    <n v="29"/>
    <n v="929"/>
    <n v="24"/>
    <n v="87.213057815135599"/>
    <s v="Fail"/>
    <n v="2.8530906166490499"/>
    <x v="2"/>
    <s v="Route A"/>
    <n v="430.16909697513597"/>
    <n v="8772.4899236131914"/>
    <n v="0.98966679215123754"/>
  </r>
  <r>
    <s v="haircare"/>
    <s v="SKU61"/>
    <n v="52.028749903294901"/>
    <n v="23"/>
    <n v="117"/>
    <n v="6885.5893508962499"/>
    <s v="Unknown"/>
    <n v="32"/>
    <n v="23"/>
    <n v="36"/>
    <n v="7"/>
    <s v="Carrier C"/>
    <n v="9.0303404225219399"/>
    <s v="Supplier 4"/>
    <s v="Kolkata"/>
    <n v="14"/>
    <n v="480"/>
    <n v="12"/>
    <n v="78.702393968878894"/>
    <s v="Fail"/>
    <n v="4.3674705382050503"/>
    <x v="1"/>
    <s v="Route A"/>
    <n v="164.366528243419"/>
    <n v="6797.8566165048487"/>
    <n v="0.98725850033737761"/>
  </r>
  <r>
    <s v="cosmetics"/>
    <s v="SKU62"/>
    <n v="72.796353955587307"/>
    <n v="89"/>
    <n v="270"/>
    <n v="3899.7468337292198"/>
    <s v="Unknown"/>
    <n v="86"/>
    <n v="2"/>
    <n v="40"/>
    <n v="7"/>
    <s v="Carrier C"/>
    <n v="7.2917013887767697"/>
    <s v="Supplier 2"/>
    <s v="Mumbai"/>
    <n v="13"/>
    <n v="751"/>
    <n v="14"/>
    <n v="21.048642725168602"/>
    <s v="Pass"/>
    <n v="1.87400140404437"/>
    <x v="3"/>
    <s v="Route C"/>
    <n v="320.84651575911101"/>
    <n v="3871.4064896152745"/>
    <n v="0.99273277335112442"/>
  </r>
  <r>
    <s v="skincare"/>
    <s v="SKU63"/>
    <n v="13.0173767852878"/>
    <n v="55"/>
    <n v="246"/>
    <n v="4256.9491408502199"/>
    <s v="Non-binary"/>
    <n v="54"/>
    <n v="19"/>
    <n v="10"/>
    <n v="4"/>
    <s v="Carrier A"/>
    <n v="2.45793352798733"/>
    <s v="Supplier 3"/>
    <s v="Bangalore"/>
    <n v="18"/>
    <n v="736"/>
    <n v="10"/>
    <n v="20.075003975630398"/>
    <s v="Pending"/>
    <n v="3.6328432903821302"/>
    <x v="3"/>
    <s v="Route A"/>
    <n v="687.28617786641701"/>
    <n v="4234.4162033466018"/>
    <n v="0.99470678724173867"/>
  </r>
  <r>
    <s v="skincare"/>
    <s v="SKU64"/>
    <n v="89.634095608135297"/>
    <n v="11"/>
    <n v="134"/>
    <n v="8458.7308783671706"/>
    <s v="Female"/>
    <n v="73"/>
    <n v="27"/>
    <n v="75"/>
    <n v="6"/>
    <s v="Carrier C"/>
    <n v="4.5853534681946497"/>
    <s v="Supplier 1"/>
    <s v="Delhi"/>
    <n v="17"/>
    <n v="328"/>
    <n v="6"/>
    <n v="8.6930424258772803"/>
    <s v="Fail"/>
    <n v="0.15948631471751401"/>
    <x v="1"/>
    <s v="Route C"/>
    <n v="771.225084681157"/>
    <n v="8445.4524824730979"/>
    <n v="0.99843021416746669"/>
  </r>
  <r>
    <s v="skincare"/>
    <s v="SKU65"/>
    <n v="33.697717206643098"/>
    <n v="72"/>
    <n v="457"/>
    <n v="8354.5796864819895"/>
    <s v="Male"/>
    <n v="57"/>
    <n v="24"/>
    <n v="54"/>
    <n v="8"/>
    <s v="Carrier C"/>
    <n v="6.5805413478845898"/>
    <s v="Supplier 5"/>
    <s v="Kolkata"/>
    <n v="16"/>
    <n v="358"/>
    <n v="21"/>
    <n v="1.59722274305067"/>
    <s v="Fail"/>
    <n v="4.9110959548423301"/>
    <x v="2"/>
    <s v="Route C"/>
    <n v="555.85910367174301"/>
    <n v="8346.4019223910545"/>
    <n v="0.99902116391274998"/>
  </r>
  <r>
    <s v="skincare"/>
    <s v="SKU66"/>
    <n v="26.034869773962001"/>
    <n v="52"/>
    <n v="704"/>
    <n v="8367.7216180201503"/>
    <s v="Female"/>
    <n v="13"/>
    <n v="17"/>
    <n v="19"/>
    <n v="8"/>
    <s v="Carrier A"/>
    <n v="2.2161427287713602"/>
    <s v="Supplier 5"/>
    <s v="Kolkata"/>
    <n v="24"/>
    <n v="867"/>
    <n v="28"/>
    <n v="42.084436738309897"/>
    <s v="Fail"/>
    <n v="3.44806328834026"/>
    <x v="0"/>
    <s v="Route A"/>
    <n v="393.84334857842703"/>
    <n v="8323.4210385530678"/>
    <n v="0.99470577757131884"/>
  </r>
  <r>
    <s v="skincare"/>
    <s v="SKU67"/>
    <n v="87.755432354001002"/>
    <n v="16"/>
    <n v="513"/>
    <n v="9473.7980325083299"/>
    <s v="Unknown"/>
    <n v="12"/>
    <n v="9"/>
    <n v="71"/>
    <n v="9"/>
    <s v="Carrier C"/>
    <n v="9.1478115447106294"/>
    <s v="Supplier 1"/>
    <s v="Mumbai"/>
    <n v="10"/>
    <n v="198"/>
    <n v="11"/>
    <n v="7.0578761469782298"/>
    <s v="Pass"/>
    <n v="0.131955444311814"/>
    <x v="3"/>
    <s v="Route C"/>
    <n v="169.27180138478599"/>
    <n v="9457.5923448166413"/>
    <n v="0.99828942018437794"/>
  </r>
  <r>
    <s v="haircare"/>
    <s v="SKU68"/>
    <n v="37.931812382790298"/>
    <n v="29"/>
    <n v="163"/>
    <n v="3550.21843278099"/>
    <s v="Non-binary"/>
    <n v="0"/>
    <n v="8"/>
    <n v="58"/>
    <n v="8"/>
    <s v="Carrier B"/>
    <n v="1.19425186488499"/>
    <s v="Supplier 2"/>
    <s v="Bangalore"/>
    <n v="2"/>
    <n v="375"/>
    <n v="18"/>
    <n v="97.113581563462205"/>
    <s v="Fail"/>
    <n v="1.9834678721741801"/>
    <x v="2"/>
    <s v="Route A"/>
    <n v="299.70630311810299"/>
    <n v="3451.9105993526432"/>
    <n v="0.97230935637068971"/>
  </r>
  <r>
    <s v="skincare"/>
    <s v="SKU69"/>
    <n v="54.865528517069698"/>
    <n v="62"/>
    <n v="511"/>
    <n v="1752.3810874841199"/>
    <s v="Non-binary"/>
    <n v="95"/>
    <n v="1"/>
    <n v="27"/>
    <n v="3"/>
    <s v="Carrier B"/>
    <n v="9.7052867901203399"/>
    <s v="Supplier 4"/>
    <s v="Kolkata"/>
    <n v="9"/>
    <n v="862"/>
    <n v="7"/>
    <n v="77.627765812748095"/>
    <s v="Pending"/>
    <n v="1.3623879886490999"/>
    <x v="1"/>
    <s v="Route A"/>
    <n v="207.66320620857499"/>
    <n v="1665.0480348812516"/>
    <n v="0.95016320751997407"/>
  </r>
  <r>
    <s v="haircare"/>
    <s v="SKU70"/>
    <n v="47.914541824058702"/>
    <n v="90"/>
    <n v="32"/>
    <n v="7014.8879872033804"/>
    <s v="Female"/>
    <n v="10"/>
    <n v="12"/>
    <n v="22"/>
    <n v="4"/>
    <s v="Carrier B"/>
    <n v="6.3157177546007199"/>
    <s v="Supplier 1"/>
    <s v="Bangalore"/>
    <n v="22"/>
    <n v="775"/>
    <n v="16"/>
    <n v="11.440781823761199"/>
    <s v="Pass"/>
    <n v="1.8305755986122301"/>
    <x v="0"/>
    <s v="Route C"/>
    <n v="183.27289874871099"/>
    <n v="6997.1314876250181"/>
    <n v="0.99746874082512027"/>
  </r>
  <r>
    <s v="cosmetics"/>
    <s v="SKU71"/>
    <n v="6.3815331627479601"/>
    <n v="14"/>
    <n v="637"/>
    <n v="8180.3370854254399"/>
    <s v="Female"/>
    <n v="76"/>
    <n v="2"/>
    <n v="26"/>
    <n v="6"/>
    <s v="Carrier A"/>
    <n v="9.2281903170525101"/>
    <s v="Supplier 2"/>
    <s v="Bangalore"/>
    <n v="2"/>
    <n v="258"/>
    <n v="10"/>
    <n v="30.661677477859499"/>
    <s v="Pending"/>
    <n v="2.07875060787496"/>
    <x v="0"/>
    <s v="Route A"/>
    <n v="405.167067888855"/>
    <n v="8140.447217630528"/>
    <n v="0.99512368899003167"/>
  </r>
  <r>
    <s v="cosmetics"/>
    <s v="SKU72"/>
    <n v="90.204427520528"/>
    <n v="88"/>
    <n v="478"/>
    <n v="2633.1219813122498"/>
    <s v="Non-binary"/>
    <n v="57"/>
    <n v="29"/>
    <n v="77"/>
    <n v="9"/>
    <s v="Carrier A"/>
    <n v="6.5996141596895397"/>
    <s v="Supplier 1"/>
    <s v="Bangalore"/>
    <n v="21"/>
    <n v="152"/>
    <n v="11"/>
    <n v="55.760492895244198"/>
    <s v="Pending"/>
    <n v="3.2133296074383"/>
    <x v="2"/>
    <s v="Route B"/>
    <n v="677.94456984618296"/>
    <n v="2570.7618742573159"/>
    <n v="0.97631704588791746"/>
  </r>
  <r>
    <s v="cosmetics"/>
    <s v="SKU73"/>
    <n v="83.851017681304597"/>
    <n v="41"/>
    <n v="375"/>
    <n v="7910.8869161406801"/>
    <s v="Male"/>
    <n v="17"/>
    <n v="25"/>
    <n v="66"/>
    <n v="5"/>
    <s v="Carrier B"/>
    <n v="1.5129368369160701"/>
    <s v="Supplier 4"/>
    <s v="Chennai"/>
    <n v="13"/>
    <n v="444"/>
    <n v="4"/>
    <n v="46.870238797617098"/>
    <s v="Fail"/>
    <n v="4.6205460645137002"/>
    <x v="0"/>
    <s v="Route A"/>
    <n v="866.472800129657"/>
    <n v="7862.5037405061466"/>
    <n v="0.99388397582377053"/>
  </r>
  <r>
    <s v="haircare"/>
    <s v="SKU74"/>
    <n v="3.1700114135661499"/>
    <n v="64"/>
    <n v="904"/>
    <n v="5709.9452959692799"/>
    <s v="Female"/>
    <n v="41"/>
    <n v="6"/>
    <n v="1"/>
    <n v="5"/>
    <s v="Carrier A"/>
    <n v="5.2376546500374399"/>
    <s v="Supplier 4"/>
    <s v="Delhi"/>
    <n v="1"/>
    <n v="919"/>
    <n v="9"/>
    <n v="80.580852156447804"/>
    <s v="Fail"/>
    <n v="0.39661272410993498"/>
    <x v="2"/>
    <s v="Route A"/>
    <n v="341.55265678322297"/>
    <n v="5624.1267891627949"/>
    <n v="0.98497034518578219"/>
  </r>
  <r>
    <s v="skincare"/>
    <s v="SKU75"/>
    <n v="92.996884233970604"/>
    <n v="29"/>
    <n v="106"/>
    <n v="1889.07358977933"/>
    <s v="Non-binary"/>
    <n v="16"/>
    <n v="20"/>
    <n v="56"/>
    <n v="10"/>
    <s v="Carrier C"/>
    <n v="2.47389776104546"/>
    <s v="Supplier 1"/>
    <s v="Chennai"/>
    <n v="25"/>
    <n v="759"/>
    <n v="11"/>
    <n v="48.064782640006499"/>
    <s v="Pass"/>
    <n v="2.0300690886687498"/>
    <x v="1"/>
    <s v="Route C"/>
    <n v="873.12964801765099"/>
    <n v="1838.5349093782779"/>
    <n v="0.97324684402212425"/>
  </r>
  <r>
    <s v="haircare"/>
    <s v="SKU76"/>
    <n v="69.108799547430294"/>
    <n v="23"/>
    <n v="241"/>
    <n v="5328.3759842977497"/>
    <s v="Male"/>
    <n v="38"/>
    <n v="1"/>
    <n v="22"/>
    <n v="10"/>
    <s v="Carrier A"/>
    <n v="7.0545383368369201"/>
    <s v="Supplier 2"/>
    <s v="Bangalore"/>
    <n v="25"/>
    <n v="985"/>
    <n v="24"/>
    <n v="64.323597795600193"/>
    <s v="Pending"/>
    <n v="2.1800374515822099"/>
    <x v="2"/>
    <s v="Route A"/>
    <n v="997.41345013319403"/>
    <n v="5256.9978481653125"/>
    <n v="0.98660414799128626"/>
  </r>
  <r>
    <s v="haircare"/>
    <s v="SKU77"/>
    <n v="57.449742958971399"/>
    <n v="14"/>
    <n v="359"/>
    <n v="2483.7601775427902"/>
    <s v="Unknown"/>
    <n v="96"/>
    <n v="28"/>
    <n v="57"/>
    <n v="4"/>
    <s v="Carrier B"/>
    <n v="6.7809466256178901"/>
    <s v="Supplier 1"/>
    <s v="Kolkata"/>
    <n v="26"/>
    <n v="334"/>
    <n v="5"/>
    <n v="42.952444748991802"/>
    <s v="Pass"/>
    <n v="3.0551418183075398"/>
    <x v="0"/>
    <s v="Route B"/>
    <n v="852.56809891984994"/>
    <n v="2434.0267861681805"/>
    <n v="0.9799765726883457"/>
  </r>
  <r>
    <s v="haircare"/>
    <s v="SKU78"/>
    <n v="6.30688317611191"/>
    <n v="50"/>
    <n v="946"/>
    <n v="1292.45841793775"/>
    <s v="Unknown"/>
    <n v="5"/>
    <n v="4"/>
    <n v="51"/>
    <n v="5"/>
    <s v="Carrier B"/>
    <n v="8.4670497708619905"/>
    <s v="Supplier 5"/>
    <s v="Mumbai"/>
    <n v="25"/>
    <n v="858"/>
    <n v="21"/>
    <n v="71.126514720403307"/>
    <s v="Pending"/>
    <n v="4.0968813324704501"/>
    <x v="3"/>
    <s v="Route C"/>
    <n v="323.59220343132199"/>
    <n v="1212.8648534464846"/>
    <n v="0.93841692437713775"/>
  </r>
  <r>
    <s v="haircare"/>
    <s v="SKU79"/>
    <n v="57.057031221103202"/>
    <n v="56"/>
    <n v="198"/>
    <n v="7888.7232684270803"/>
    <s v="Non-binary"/>
    <n v="31"/>
    <n v="25"/>
    <n v="20"/>
    <n v="1"/>
    <s v="Carrier B"/>
    <n v="6.49632536429504"/>
    <s v="Supplier 3"/>
    <s v="Bangalore"/>
    <n v="5"/>
    <n v="228"/>
    <n v="12"/>
    <n v="57.870902924036201"/>
    <s v="Pending"/>
    <n v="0.16587162748060799"/>
    <x v="1"/>
    <s v="Route C"/>
    <n v="351.50421933503799"/>
    <n v="7824.3560401387485"/>
    <n v="0.99184060257938722"/>
  </r>
  <r>
    <s v="skincare"/>
    <s v="SKU80"/>
    <n v="91.128318350444303"/>
    <n v="75"/>
    <n v="872"/>
    <n v="8651.67268298206"/>
    <s v="Unknown"/>
    <n v="39"/>
    <n v="14"/>
    <n v="41"/>
    <n v="2"/>
    <s v="Carrier C"/>
    <n v="2.8331846794189701"/>
    <s v="Supplier 3"/>
    <s v="Chennai"/>
    <n v="8"/>
    <n v="202"/>
    <n v="5"/>
    <n v="76.961228023819999"/>
    <s v="Fail"/>
    <n v="2.8496621985053299"/>
    <x v="3"/>
    <s v="Route B"/>
    <n v="787.77985049434403"/>
    <n v="8571.8782702788212"/>
    <n v="0.99077699589118817"/>
  </r>
  <r>
    <s v="haircare"/>
    <s v="SKU81"/>
    <n v="72.819206930318202"/>
    <n v="9"/>
    <n v="774"/>
    <n v="4384.4134000458598"/>
    <s v="Unknown"/>
    <n v="48"/>
    <n v="6"/>
    <n v="8"/>
    <n v="5"/>
    <s v="Carrier B"/>
    <n v="4.0662775015120403"/>
    <s v="Supplier 3"/>
    <s v="Delhi"/>
    <n v="28"/>
    <n v="698"/>
    <n v="1"/>
    <n v="19.789592941903599"/>
    <s v="Pending"/>
    <n v="2.54754712154871"/>
    <x v="2"/>
    <s v="Route B"/>
    <n v="276.77833594679799"/>
    <n v="4360.5575296024444"/>
    <n v="0.9945589367911416"/>
  </r>
  <r>
    <s v="skincare"/>
    <s v="SKU82"/>
    <n v="17.034930739467899"/>
    <n v="13"/>
    <n v="336"/>
    <n v="2943.3818676094502"/>
    <s v="Unknown"/>
    <n v="42"/>
    <n v="19"/>
    <n v="72"/>
    <n v="1"/>
    <s v="Carrier A"/>
    <n v="4.7081818735419301"/>
    <s v="Supplier 2"/>
    <s v="Mumbai"/>
    <n v="6"/>
    <n v="955"/>
    <n v="26"/>
    <n v="4.4652784349432402"/>
    <s v="Pending"/>
    <n v="4.1378770486223502"/>
    <x v="0"/>
    <s v="Route C"/>
    <n v="589.97855562804"/>
    <n v="2934.2084073009651"/>
    <n v="0.99688336046048431"/>
  </r>
  <r>
    <s v="haircare"/>
    <s v="SKU83"/>
    <n v="68.911246211606297"/>
    <n v="82"/>
    <n v="663"/>
    <n v="2411.7546321104901"/>
    <s v="Unknown"/>
    <n v="65"/>
    <n v="24"/>
    <n v="7"/>
    <n v="8"/>
    <s v="Carrier B"/>
    <n v="4.94983957799694"/>
    <s v="Supplier 1"/>
    <s v="Bangalore"/>
    <n v="20"/>
    <n v="443"/>
    <n v="5"/>
    <n v="97.730593800533001"/>
    <s v="Fail"/>
    <n v="0.77300613406724705"/>
    <x v="0"/>
    <s v="Route A"/>
    <n v="682.97101822609295"/>
    <n v="2309.0741987319602"/>
    <n v="0.95742500832737043"/>
  </r>
  <r>
    <s v="haircare"/>
    <s v="SKU84"/>
    <n v="89.104367292102197"/>
    <n v="99"/>
    <n v="618"/>
    <n v="2048.2900998487098"/>
    <s v="Unknown"/>
    <n v="73"/>
    <n v="26"/>
    <n v="80"/>
    <n v="10"/>
    <s v="Carrier A"/>
    <n v="8.3816156249226292"/>
    <s v="Supplier 5"/>
    <s v="Chennai"/>
    <n v="24"/>
    <n v="589"/>
    <n v="22"/>
    <n v="33.808636513209002"/>
    <s v="Pass"/>
    <n v="4.8434565771180402"/>
    <x v="1"/>
    <s v="Route B"/>
    <n v="465.45700596368698"/>
    <n v="2006.0998477105782"/>
    <n v="0.97940220863184957"/>
  </r>
  <r>
    <s v="cosmetics"/>
    <s v="SKU85"/>
    <n v="76.962994415193805"/>
    <n v="83"/>
    <n v="25"/>
    <n v="8684.6130592538502"/>
    <s v="Female"/>
    <n v="15"/>
    <n v="18"/>
    <n v="66"/>
    <n v="2"/>
    <s v="Carrier C"/>
    <n v="8.2491687048717193"/>
    <s v="Supplier 5"/>
    <s v="Chennai"/>
    <n v="4"/>
    <n v="211"/>
    <n v="2"/>
    <n v="69.929345518672307"/>
    <s v="Fail"/>
    <n v="1.3744289997457499"/>
    <x v="0"/>
    <s v="Route B"/>
    <n v="842.68683000464102"/>
    <n v="8606.4345450303063"/>
    <n v="0.99099804289608029"/>
  </r>
  <r>
    <s v="skincare"/>
    <s v="SKU86"/>
    <n v="19.9981769404042"/>
    <n v="18"/>
    <n v="223"/>
    <n v="1229.59102856498"/>
    <s v="Unknown"/>
    <n v="32"/>
    <n v="14"/>
    <n v="22"/>
    <n v="6"/>
    <s v="Carrier B"/>
    <n v="1.4543053101535499"/>
    <s v="Supplier 1"/>
    <s v="Mumbai"/>
    <n v="4"/>
    <n v="569"/>
    <n v="18"/>
    <n v="74.608969995194599"/>
    <s v="Pass"/>
    <n v="2.0515129307662399"/>
    <x v="2"/>
    <s v="Route A"/>
    <n v="264.25488983586598"/>
    <n v="1153.5277532596317"/>
    <n v="0.93813937029605732"/>
  </r>
  <r>
    <s v="haircare"/>
    <s v="SKU87"/>
    <n v="80.414036650355698"/>
    <n v="24"/>
    <n v="79"/>
    <n v="5133.8467010866898"/>
    <s v="Male"/>
    <n v="5"/>
    <n v="7"/>
    <n v="55"/>
    <n v="10"/>
    <s v="Carrier A"/>
    <n v="6.5758037975485299"/>
    <s v="Supplier 3"/>
    <s v="Chennai"/>
    <n v="27"/>
    <n v="523"/>
    <n v="17"/>
    <n v="28.696996824143099"/>
    <s v="Fail"/>
    <n v="3.6937377878392699"/>
    <x v="3"/>
    <s v="Route B"/>
    <n v="879.35921773492396"/>
    <n v="5098.5739004649986"/>
    <n v="0.99312936231340432"/>
  </r>
  <r>
    <s v="cosmetics"/>
    <s v="SKU88"/>
    <n v="75.270406975724995"/>
    <n v="58"/>
    <n v="737"/>
    <n v="9444.7420330629793"/>
    <s v="Male"/>
    <n v="60"/>
    <n v="18"/>
    <n v="85"/>
    <n v="7"/>
    <s v="Carrier A"/>
    <n v="3.8012531329310701"/>
    <s v="Supplier 2"/>
    <s v="Mumbai"/>
    <n v="21"/>
    <n v="953"/>
    <n v="11"/>
    <n v="68.1849190570411"/>
    <s v="Pending"/>
    <n v="0.722204401882931"/>
    <x v="3"/>
    <s v="Route A"/>
    <n v="103.916247960704"/>
    <n v="9372.7558608730069"/>
    <n v="0.99237817486830537"/>
  </r>
  <r>
    <s v="cosmetics"/>
    <s v="SKU89"/>
    <n v="97.760085581938597"/>
    <n v="10"/>
    <n v="134"/>
    <n v="5924.6825668532301"/>
    <s v="Unknown"/>
    <n v="90"/>
    <n v="1"/>
    <n v="27"/>
    <n v="8"/>
    <s v="Carrier B"/>
    <n v="9.9298162452772498"/>
    <s v="Supplier 1"/>
    <s v="Kolkata"/>
    <n v="23"/>
    <n v="370"/>
    <n v="11"/>
    <n v="46.603873381644398"/>
    <s v="Pending"/>
    <n v="1.9076657339590699"/>
    <x v="2"/>
    <s v="Route B"/>
    <n v="517.49997392906005"/>
    <n v="5868.1488772263092"/>
    <n v="0.99045793779008351"/>
  </r>
  <r>
    <s v="skincare"/>
    <s v="SKU90"/>
    <n v="13.881913501359101"/>
    <n v="56"/>
    <n v="320"/>
    <n v="9592.6335702803099"/>
    <s v="Non-binary"/>
    <n v="66"/>
    <n v="18"/>
    <n v="96"/>
    <n v="7"/>
    <s v="Carrier B"/>
    <n v="7.6744307081126903"/>
    <s v="Supplier 3"/>
    <s v="Bangalore"/>
    <n v="8"/>
    <n v="585"/>
    <n v="8"/>
    <n v="85.675963335797903"/>
    <s v="Pass"/>
    <n v="1.2193822244013801"/>
    <x v="2"/>
    <s v="Route B"/>
    <n v="990.07847250581096"/>
    <n v="9499.2831762363985"/>
    <n v="0.99026853331152698"/>
  </r>
  <r>
    <s v="cosmetics"/>
    <s v="SKU91"/>
    <n v="62.111965463961702"/>
    <n v="90"/>
    <n v="916"/>
    <n v="1935.20679350759"/>
    <s v="Male"/>
    <n v="98"/>
    <n v="22"/>
    <n v="85"/>
    <n v="7"/>
    <s v="Carrier B"/>
    <n v="7.4715140844011403"/>
    <s v="Supplier 4"/>
    <s v="Delhi"/>
    <n v="5"/>
    <n v="207"/>
    <n v="28"/>
    <n v="39.772882502339897"/>
    <s v="Pending"/>
    <n v="0.62600185820939402"/>
    <x v="2"/>
    <s v="Route B"/>
    <n v="996.77831495062298"/>
    <n v="1887.962396920849"/>
    <n v="0.97558690019834526"/>
  </r>
  <r>
    <s v="cosmetics"/>
    <s v="SKU92"/>
    <n v="47.714233075820196"/>
    <n v="44"/>
    <n v="276"/>
    <n v="2100.1297546259302"/>
    <s v="Male"/>
    <n v="90"/>
    <n v="25"/>
    <n v="10"/>
    <n v="8"/>
    <s v="Carrier B"/>
    <n v="4.4695000261236002"/>
    <s v="Supplier 2"/>
    <s v="Mumbai"/>
    <n v="4"/>
    <n v="671"/>
    <n v="29"/>
    <n v="62.612690395614301"/>
    <s v="Pass"/>
    <n v="0.33343182522473902"/>
    <x v="2"/>
    <s v="Route B"/>
    <n v="230.092782536762"/>
    <n v="2033.0475642041924"/>
    <n v="0.96805807342428407"/>
  </r>
  <r>
    <s v="haircare"/>
    <s v="SKU93"/>
    <n v="69.290831002905406"/>
    <n v="88"/>
    <n v="114"/>
    <n v="4531.4021336919004"/>
    <s v="Unknown"/>
    <n v="63"/>
    <n v="17"/>
    <n v="66"/>
    <n v="1"/>
    <s v="Carrier C"/>
    <n v="7.00643205900439"/>
    <s v="Supplier 4"/>
    <s v="Chennai"/>
    <n v="21"/>
    <n v="824"/>
    <n v="20"/>
    <n v="35.633652343343797"/>
    <s v="Fail"/>
    <n v="4.1657817954241398"/>
    <x v="1"/>
    <s v="Route A"/>
    <n v="823.52384588815505"/>
    <n v="4488.7620492895521"/>
    <n v="0.99059009040815194"/>
  </r>
  <r>
    <s v="cosmetics"/>
    <s v="SKU94"/>
    <n v="3.0376887246314102"/>
    <n v="97"/>
    <n v="987"/>
    <n v="7888.3565466618702"/>
    <s v="Unknown"/>
    <n v="77"/>
    <n v="26"/>
    <n v="72"/>
    <n v="9"/>
    <s v="Carrier B"/>
    <n v="6.9429459420325799"/>
    <s v="Supplier 2"/>
    <s v="Delhi"/>
    <n v="12"/>
    <n v="908"/>
    <n v="14"/>
    <n v="60.387378614862101"/>
    <s v="Pass"/>
    <n v="1.4636074984727701"/>
    <x v="2"/>
    <s v="Route B"/>
    <n v="846.66525698669398"/>
    <n v="7821.0262221049752"/>
    <n v="0.99146459415739929"/>
  </r>
  <r>
    <s v="haircare"/>
    <s v="SKU95"/>
    <n v="77.903927219447695"/>
    <n v="65"/>
    <n v="672"/>
    <n v="7386.3639440486604"/>
    <s v="Unknown"/>
    <n v="15"/>
    <n v="14"/>
    <n v="26"/>
    <n v="9"/>
    <s v="Carrier B"/>
    <n v="8.6303388696027508"/>
    <s v="Supplier 4"/>
    <s v="Mumbai"/>
    <n v="18"/>
    <n v="450"/>
    <n v="26"/>
    <n v="58.890685768589897"/>
    <s v="Pending"/>
    <n v="1.21088212958506"/>
    <x v="1"/>
    <s v="Route A"/>
    <n v="778.86424137664699"/>
    <n v="7318.8429194104683"/>
    <n v="0.99085869242977187"/>
  </r>
  <r>
    <s v="cosmetics"/>
    <s v="SKU96"/>
    <n v="24.423131420373299"/>
    <n v="29"/>
    <n v="324"/>
    <n v="7698.4247656321104"/>
    <s v="Non-binary"/>
    <n v="67"/>
    <n v="2"/>
    <n v="32"/>
    <n v="3"/>
    <s v="Carrier C"/>
    <n v="5.3528780439967996"/>
    <s v="Supplier 3"/>
    <s v="Mumbai"/>
    <n v="28"/>
    <n v="648"/>
    <n v="28"/>
    <n v="17.803756331391199"/>
    <s v="Pending"/>
    <n v="3.8720476814821301"/>
    <x v="0"/>
    <s v="Route A"/>
    <n v="188.74214114905601"/>
    <n v="7675.2681312567229"/>
    <n v="0.99699202952807109"/>
  </r>
  <r>
    <s v="haircare"/>
    <s v="SKU97"/>
    <n v="3.5261112591434101"/>
    <n v="56"/>
    <n v="62"/>
    <n v="4370.9165799845296"/>
    <s v="Male"/>
    <n v="46"/>
    <n v="19"/>
    <n v="4"/>
    <n v="9"/>
    <s v="Carrier A"/>
    <n v="7.9048456112096703"/>
    <s v="Supplier 4"/>
    <s v="Mumbai"/>
    <n v="10"/>
    <n v="535"/>
    <n v="13"/>
    <n v="65.765155926367399"/>
    <s v="Fail"/>
    <n v="3.3762378347179798"/>
    <x v="0"/>
    <s v="Route A"/>
    <n v="540.13242286796697"/>
    <n v="4297.2465784469523"/>
    <n v="0.98314541122222976"/>
  </r>
  <r>
    <s v="skincare"/>
    <s v="SKU98"/>
    <n v="19.754604866878601"/>
    <n v="43"/>
    <n v="913"/>
    <n v="8525.9525596835192"/>
    <s v="Female"/>
    <n v="53"/>
    <n v="1"/>
    <n v="27"/>
    <n v="7"/>
    <s v="Carrier B"/>
    <n v="1.4098010951380699"/>
    <s v="Supplier 5"/>
    <s v="Chennai"/>
    <n v="28"/>
    <n v="581"/>
    <n v="9"/>
    <n v="5.6046908643717801"/>
    <s v="Pending"/>
    <n v="2.9081221693512598"/>
    <x v="2"/>
    <s v="Route A"/>
    <n v="882.19886354704101"/>
    <n v="8518.9380677240097"/>
    <n v="0.99917727762259911"/>
  </r>
  <r>
    <s v="haircare"/>
    <s v="SKU99"/>
    <n v="68.517832699276596"/>
    <n v="17"/>
    <n v="627"/>
    <n v="9185.1858291817007"/>
    <s v="Unknown"/>
    <n v="55"/>
    <n v="8"/>
    <n v="59"/>
    <n v="6"/>
    <s v="Carrier B"/>
    <n v="1.3110237561206199"/>
    <s v="Supplier 2"/>
    <s v="Chennai"/>
    <n v="29"/>
    <n v="921"/>
    <n v="2"/>
    <n v="38.072898520625998"/>
    <s v="Fail"/>
    <n v="0.34602729070550298"/>
    <x v="2"/>
    <s v="Route B"/>
    <n v="210.743008964246"/>
    <n v="9145.8019069049533"/>
    <n v="0.9957122345688833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7CB515-12E9-495E-8323-7D4802701629}" name="PivotTable6"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B46:C50"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Inspection results" fld="1" subtotal="count" baseField="0" baseItem="0"/>
  </dataFields>
  <chartFormats count="5">
    <chartFormat chart="0"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0" count="1" selected="0">
            <x v="0"/>
          </reference>
        </references>
      </pivotArea>
    </chartFormat>
    <chartFormat chart="6" format="7">
      <pivotArea type="data" outline="0" fieldPosition="0">
        <references count="2">
          <reference field="4294967294" count="1" selected="0">
            <x v="0"/>
          </reference>
          <reference field="0" count="1" selected="0">
            <x v="1"/>
          </reference>
        </references>
      </pivotArea>
    </chartFormat>
    <chartFormat chart="6" format="8">
      <pivotArea type="data" outline="0" fieldPosition="0">
        <references count="2">
          <reference field="4294967294" count="1" selected="0">
            <x v="0"/>
          </reference>
          <reference field="0" count="1" selected="0">
            <x v="2"/>
          </reference>
        </references>
      </pivotArea>
    </chartFormat>
  </chartFormats>
  <pivotHierarchies count="49">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Table1]"/>
        <x15:activeTabTopLevelEntity name="[Table1  Location   Profit Marg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32ABBB-B72A-4258-9333-2959FAE2C6DE}" name="PivotTable5"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32:B38" firstHeaderRow="1" firstDataRow="1" firstDataCol="1"/>
  <pivotFields count="3">
    <pivotField axis="axisRow" allDrilled="1" subtotalTop="0" showAll="0" defaultSubtotal="0" defaultAttributeDrillState="1">
      <items count="5">
        <item x="1"/>
        <item x="0"/>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generated"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49">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EF812E-3264-4D62-AC59-99C5D8C715D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6:B21" firstHeaderRow="1" firstDataRow="1" firstDataCol="1"/>
  <pivotFields count="26">
    <pivotField showAll="0"/>
    <pivotField showAll="0"/>
    <pivotField numFmtId="164" showAll="0"/>
    <pivotField numFmtId="2" showAll="0"/>
    <pivotField numFmtId="2" showAll="0"/>
    <pivotField numFmtId="1" showAll="0"/>
    <pivotField showAll="0"/>
    <pivotField showAll="0"/>
    <pivotField numFmtId="2" showAll="0"/>
    <pivotField showAll="0"/>
    <pivotField showAll="0"/>
    <pivotField showAll="0"/>
    <pivotField dataField="1" numFmtId="164" showAll="0"/>
    <pivotField showAll="0"/>
    <pivotField showAll="0"/>
    <pivotField showAll="0"/>
    <pivotField showAll="0"/>
    <pivotField showAll="0"/>
    <pivotField showAll="0"/>
    <pivotField showAll="0"/>
    <pivotField numFmtId="10" showAll="0"/>
    <pivotField axis="axisRow" showAll="0">
      <items count="5">
        <item x="1"/>
        <item x="2"/>
        <item x="0"/>
        <item x="3"/>
        <item t="default"/>
      </items>
    </pivotField>
    <pivotField showAll="0"/>
    <pivotField showAll="0"/>
    <pivotField numFmtId="164" showAll="0"/>
    <pivotField numFmtId="10" showAll="0"/>
  </pivotFields>
  <rowFields count="1">
    <field x="21"/>
  </rowFields>
  <rowItems count="5">
    <i>
      <x/>
    </i>
    <i>
      <x v="1"/>
    </i>
    <i>
      <x v="2"/>
    </i>
    <i>
      <x v="3"/>
    </i>
    <i t="grand">
      <x/>
    </i>
  </rowItems>
  <colItems count="1">
    <i/>
  </colItems>
  <dataFields count="1">
    <dataField name="Average of Shipping costs" fld="12" subtotal="average" baseField="21" baseItem="0" numFmtId="164"/>
  </dataFields>
  <chartFormats count="6">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21" count="1" selected="0">
            <x v="0"/>
          </reference>
        </references>
      </pivotArea>
    </chartFormat>
    <chartFormat chart="4" format="8">
      <pivotArea type="data" outline="0" fieldPosition="0">
        <references count="2">
          <reference field="4294967294" count="1" selected="0">
            <x v="0"/>
          </reference>
          <reference field="21" count="1" selected="0">
            <x v="1"/>
          </reference>
        </references>
      </pivotArea>
    </chartFormat>
    <chartFormat chart="4" format="9">
      <pivotArea type="data" outline="0" fieldPosition="0">
        <references count="2">
          <reference field="4294967294" count="1" selected="0">
            <x v="0"/>
          </reference>
          <reference field="21" count="1" selected="0">
            <x v="2"/>
          </reference>
        </references>
      </pivotArea>
    </chartFormat>
    <chartFormat chart="4" format="10">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EE8B1C-46A7-4AEE-AA6B-73DF8A49D16B}" name="PivotTable1"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3:B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Revenue generated" fld="1"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49">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Location   Profit Margin]"/>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89F9790-2934-48E7-8058-665EFF8A61AB}" name="PivotTable7"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7:A1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generated" fld="0" baseField="0" baseItem="0"/>
  </dataFields>
  <pivotHierarchies count="49">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EF8D92-2A65-4C28-B404-9D11F2B6F1EA}" name="PivotTable3"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A3:B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Average of Defect rates" fld="1" subtotal="average" baseField="0" baseItem="0"/>
  </dataFields>
  <chartFormats count="2">
    <chartFormat chart="0"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49">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efect rates"/>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Location   Profit Margin]"/>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81F2FE6-CC69-460A-865A-F104F911F843}" name="PivotTable9"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7:G18"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Shipping costs" fld="0" baseField="0" baseItem="0"/>
    <dataField name="Sum of Profit" fld="3" baseField="0" baseItem="0"/>
    <dataField name="Sum of Defect rates" fld="1" baseField="0" baseItem="0"/>
    <dataField name="Sum of Number of products sold" fld="2" baseField="0" baseItem="0"/>
  </dataFields>
  <pivotHierarchies count="49">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02C3D78-EF5F-4545-A1EA-7DD4E11421F1}" name="PivotTable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7:B1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Lead times" fld="0" baseField="0" baseItem="0"/>
  </dataFields>
  <pivotHierarchies count="49">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5A6034CB-E01A-41B2-B5D3-75F0C2D0CFBC}" sourceName="[Table1].[Location]">
  <pivotTables>
    <pivotTable tabId="5" name="PivotTable5"/>
    <pivotTable tabId="5" name="PivotTable1"/>
    <pivotTable tabId="5" name="PivotTable6"/>
    <pivotTable tabId="7" name="PivotTable3"/>
    <pivotTable tabId="7" name="PivotTable7"/>
    <pivotTable tabId="7" name="PivotTable8"/>
    <pivotTable tabId="7" name="PivotTable9"/>
  </pivotTables>
  <data>
    <olap pivotCacheId="882832982">
      <levels count="2">
        <level uniqueName="[Table1].[Location].[(All)]" sourceCaption="(All)" count="0"/>
        <level uniqueName="[Table1].[Location].[Location]" sourceCaption="Location" count="5">
          <ranges>
            <range startItem="0">
              <i n="[Table1].[Location].&amp;[Bangalore]" c="Bangalore"/>
              <i n="[Table1].[Location].&amp;[Chennai]" c="Chennai"/>
              <i n="[Table1].[Location].&amp;[Delhi]" c="Delhi"/>
              <i n="[Table1].[Location].&amp;[Kolkata]" c="Kolkata"/>
              <i n="[Table1].[Location].&amp;[Mumbai]" c="Mumbai"/>
            </range>
          </ranges>
        </level>
      </levels>
      <selections count="1">
        <selection n="[Table1].[Locat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536028A2-86A5-41BB-B855-B73C7CA7B948}" sourceName="[Table1].[Product type]">
  <pivotTables>
    <pivotTable tabId="5" name="PivotTable5"/>
    <pivotTable tabId="5" name="PivotTable1"/>
    <pivotTable tabId="5" name="PivotTable6"/>
    <pivotTable tabId="7" name="PivotTable3"/>
    <pivotTable tabId="7" name="PivotTable7"/>
    <pivotTable tabId="7" name="PivotTable8"/>
    <pivotTable tabId="7" name="PivotTable9"/>
  </pivotTables>
  <data>
    <olap pivotCacheId="882832982">
      <levels count="2">
        <level uniqueName="[Table1].[Product type].[(All)]" sourceCaption="(All)" count="0"/>
        <level uniqueName="[Table1].[Product type].[Product type]" sourceCaption="Product type" count="3">
          <ranges>
            <range startItem="0">
              <i n="[Table1].[Product type].&amp;[cosmetics]" c="cosmetics"/>
              <i n="[Table1].[Product type].&amp;[haircare]" c="haircare"/>
              <i n="[Table1].[Product type].&amp;[skincare]" c="skincare"/>
            </range>
          </ranges>
        </level>
      </levels>
      <selections count="1">
        <selection n="[Table1].[Product 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_name" xr10:uid="{C324528A-EB45-4C22-A740-7AFAE3FAA04D}" sourceName="[Table1].[Supplier name]">
  <pivotTables>
    <pivotTable tabId="5" name="PivotTable5"/>
    <pivotTable tabId="5" name="PivotTable1"/>
    <pivotTable tabId="5" name="PivotTable6"/>
    <pivotTable tabId="7" name="PivotTable3"/>
    <pivotTable tabId="7" name="PivotTable7"/>
    <pivotTable tabId="7" name="PivotTable8"/>
    <pivotTable tabId="7" name="PivotTable9"/>
  </pivotTables>
  <data>
    <olap pivotCacheId="882832982">
      <levels count="2">
        <level uniqueName="[Table1].[Supplier name].[(All)]" sourceCaption="(All)" count="0"/>
        <level uniqueName="[Table1].[Supplier name].[Supplier name]" sourceCaption="Supplier name" count="5">
          <ranges>
            <range startItem="0">
              <i n="[Table1].[Supplier name].&amp;[Supplier 1]" c="Supplier 1"/>
              <i n="[Table1].[Supplier name].&amp;[Supplier 2]" c="Supplier 2"/>
              <i n="[Table1].[Supplier name].&amp;[Supplier 3]" c="Supplier 3"/>
              <i n="[Table1].[Supplier name].&amp;[Supplier 4]" c="Supplier 4"/>
              <i n="[Table1].[Supplier name].&amp;[Supplier 5]" c="Supplier 5"/>
            </range>
          </ranges>
        </level>
      </levels>
      <selections count="1">
        <selection n="[Table1].[Supplier nam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portation_modes" xr10:uid="{5225F3DD-D433-4804-A7C9-B87D6B6370E7}" sourceName="[Table1].[Transportation modes]">
  <pivotTables>
    <pivotTable tabId="5" name="PivotTable5"/>
    <pivotTable tabId="5" name="PivotTable1"/>
    <pivotTable tabId="5" name="PivotTable6"/>
    <pivotTable tabId="7" name="PivotTable3"/>
    <pivotTable tabId="7" name="PivotTable7"/>
    <pivotTable tabId="7" name="PivotTable8"/>
    <pivotTable tabId="7" name="PivotTable9"/>
  </pivotTables>
  <data>
    <olap pivotCacheId="882832982">
      <levels count="2">
        <level uniqueName="[Table1].[Transportation modes].[(All)]" sourceCaption="(All)" count="0"/>
        <level uniqueName="[Table1].[Transportation modes].[Transportation modes]" sourceCaption="Transportation modes" count="4">
          <ranges>
            <range startItem="0">
              <i n="[Table1].[Transportation modes].&amp;[Air]" c="Air"/>
              <i n="[Table1].[Transportation modes].&amp;[Rail]" c="Rail"/>
              <i n="[Table1].[Transportation modes].&amp;[Road]" c="Road"/>
              <i n="[Table1].[Transportation modes].&amp;[Sea]" c="Sea"/>
            </range>
          </ranges>
        </level>
      </levels>
      <selections count="1">
        <selection n="[Table1].[Transportation mode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44B081B8-5C62-470B-8DEB-3561288EBF50}" cache="Slicer_Location" caption="Location" level="1" rowHeight="247650"/>
  <slicer name="Product type" xr10:uid="{5ABD6EA8-3F8C-43B4-BE2A-3AC04F8A0561}" cache="Slicer_Product_type" caption="Product type" level="1" rowHeight="247650"/>
  <slicer name="Supplier name" xr10:uid="{1B0501E7-7B70-468A-9090-C5566E33992B}" cache="Slicer_Supplier_name" caption="Supplier name" level="1" rowHeight="247650"/>
  <slicer name="Transportation modes" xr10:uid="{C4B33365-D117-4B56-8547-A5AC88C77B50}" cache="Slicer_Transportation_modes" caption="Transportation modes"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9BC6EBC-71FE-4B9C-A978-EF4EAF210991}" name="Table1" displayName="Table1" ref="A1:Z101" totalsRowShown="0">
  <autoFilter ref="A1:Z101" xr:uid="{B9BC6EBC-71FE-4B9C-A978-EF4EAF210991}"/>
  <tableColumns count="26">
    <tableColumn id="1" xr3:uid="{7575F0AD-0B48-4BA0-AAE2-85D8D6277A41}" name="Product type" dataDxfId="12"/>
    <tableColumn id="2" xr3:uid="{ECA89E8B-BCF1-44E4-B65F-FEFB4D8B186D}" name="SKU" dataDxfId="11"/>
    <tableColumn id="3" xr3:uid="{6EA30242-0297-463E-8D66-EF8A927D709F}" name="Price" dataDxfId="10"/>
    <tableColumn id="4" xr3:uid="{7EE3E176-65BD-4B73-8F32-10754D7C2A67}" name="Availability" dataDxfId="9"/>
    <tableColumn id="5" xr3:uid="{D57A5D98-CAE5-4A74-ACE7-0D5B551DDBF9}" name="Number of products sold" dataDxfId="8"/>
    <tableColumn id="6" xr3:uid="{DE8D7B9D-3608-4301-B954-526E56992CAF}" name="Revenue generated" dataDxfId="7"/>
    <tableColumn id="7" xr3:uid="{6F405681-0FA1-4E39-B44A-9496DE520559}" name="Customer demographics"/>
    <tableColumn id="8" xr3:uid="{985892E0-CEE7-46F8-A7B0-702EC35BF7FE}" name="Stock levels"/>
    <tableColumn id="9" xr3:uid="{969804E1-6BE1-4161-A9C0-F4538C60430C}" name="Lead times" dataDxfId="6"/>
    <tableColumn id="10" xr3:uid="{311C2CA7-D56A-42B4-A6F3-43174EB417BC}" name="Order quantities"/>
    <tableColumn id="11" xr3:uid="{9F57D9CB-62E6-4DEE-A99F-C4E7AAF7AC73}" name="Shipping times"/>
    <tableColumn id="12" xr3:uid="{C85A6B27-9006-4DB5-AA14-77181B482BC1}" name="Shipping carriers" dataDxfId="5"/>
    <tableColumn id="13" xr3:uid="{87438C12-8731-4179-949E-DEB2F4EFAD16}" name="Shipping costs" dataDxfId="4"/>
    <tableColumn id="14" xr3:uid="{BC72402A-98B4-47EF-B529-2D01A53957E2}" name="Supplier name"/>
    <tableColumn id="15" xr3:uid="{D3263AB5-0611-462B-BCF3-1EB790991ED9}" name="Location"/>
    <tableColumn id="16" xr3:uid="{FECC0910-AA7C-4A0B-A553-801EE36F0E42}" name="Lead time" dataDxfId="3"/>
    <tableColumn id="17" xr3:uid="{4C62CA2C-9CCA-418C-AC33-F31862224506}" name="Production volumes"/>
    <tableColumn id="18" xr3:uid="{15405BE5-0E03-4569-ADEC-A89928C2D401}" name="Manufacturing lead time"/>
    <tableColumn id="19" xr3:uid="{7B13CEAB-6B34-43A3-B11E-A95275F46FB0}" name="Manufacturing costs"/>
    <tableColumn id="20" xr3:uid="{39899437-F617-4C30-9A97-F57048180156}" name="Inspection results"/>
    <tableColumn id="21" xr3:uid="{AFF388B7-4BE2-4FE0-8AAF-99C948FBE790}" name="Defect rates" dataDxfId="2"/>
    <tableColumn id="22" xr3:uid="{98F26573-BA2F-4C2F-8DB7-8DF7738EDA20}" name="Transportation modes"/>
    <tableColumn id="23" xr3:uid="{1E17B391-7986-4FA8-A340-77C693261809}" name="Routes"/>
    <tableColumn id="24" xr3:uid="{FAE3BA0D-AE8B-4FF8-A3F2-359989545985}" name="Costs"/>
    <tableColumn id="25" xr3:uid="{99E87B27-BD9D-49CC-87AA-D3EBE01995A3}" name="Profit" dataDxfId="1">
      <calculatedColumnFormula>Table1[[#This Row],[Revenue generated]]-Table1[[#This Row],[Manufacturing costs]]-Table1[[#This Row],[Shipping costs]]</calculatedColumnFormula>
    </tableColumn>
    <tableColumn id="26" xr3:uid="{21529226-8D26-4868-9ED7-BBB91B22BDB2}" name="Profit Margin" dataDxfId="0">
      <calculatedColumnFormula>(Y2/F2)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drawing" Target="../drawings/drawing2.xml"/><Relationship Id="rId5" Type="http://schemas.openxmlformats.org/officeDocument/2006/relationships/printerSettings" Target="../printerSettings/printerSettings1.bin"/><Relationship Id="rId4"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1A159-913B-4CD6-9051-D3728953D554}">
  <dimension ref="A1:Z101"/>
  <sheetViews>
    <sheetView topLeftCell="K61" zoomScale="63" workbookViewId="0">
      <selection activeCell="F1" sqref="F1:F1048576"/>
    </sheetView>
  </sheetViews>
  <sheetFormatPr defaultRowHeight="14.4" x14ac:dyDescent="0.3"/>
  <cols>
    <col min="1" max="1" width="20.33203125" style="3" customWidth="1"/>
    <col min="2" max="2" width="8.88671875" style="3"/>
    <col min="3" max="3" width="12.88671875" style="2" customWidth="1"/>
    <col min="4" max="4" width="16.88671875" style="1" customWidth="1"/>
    <col min="5" max="5" width="32.5546875" style="1" customWidth="1"/>
    <col min="6" max="6" width="28" style="5" customWidth="1"/>
    <col min="7" max="7" width="33.6640625" customWidth="1"/>
    <col min="8" max="8" width="15" customWidth="1"/>
    <col min="9" max="9" width="15.33203125" style="1" customWidth="1"/>
    <col min="10" max="10" width="21.88671875" customWidth="1"/>
    <col min="11" max="11" width="20.5546875" customWidth="1"/>
    <col min="12" max="12" width="19" style="3" customWidth="1"/>
    <col min="13" max="13" width="21.44140625" style="2" customWidth="1"/>
    <col min="14" max="14" width="17.6640625" customWidth="1"/>
    <col min="15" max="15" width="14.5546875" customWidth="1"/>
    <col min="16" max="16" width="16.33203125" customWidth="1"/>
    <col min="17" max="17" width="22.109375" customWidth="1"/>
    <col min="18" max="18" width="25.109375" customWidth="1"/>
    <col min="19" max="19" width="22.21875" customWidth="1"/>
    <col min="20" max="20" width="20.33203125" customWidth="1"/>
    <col min="21" max="21" width="15.77734375" style="4" customWidth="1"/>
    <col min="22" max="22" width="24.21875" customWidth="1"/>
    <col min="23" max="23" width="11.33203125" customWidth="1"/>
    <col min="24" max="24" width="12.6640625" customWidth="1"/>
    <col min="25" max="25" width="10" bestFit="1" customWidth="1"/>
    <col min="26" max="26" width="18.44140625" style="4" customWidth="1"/>
  </cols>
  <sheetData>
    <row r="1" spans="1:26" x14ac:dyDescent="0.3">
      <c r="A1" s="3" t="s">
        <v>0</v>
      </c>
      <c r="B1" s="3" t="s">
        <v>1</v>
      </c>
      <c r="C1" s="2" t="s">
        <v>2</v>
      </c>
      <c r="D1" s="1" t="s">
        <v>3</v>
      </c>
      <c r="E1" s="1" t="s">
        <v>4</v>
      </c>
      <c r="F1" s="5" t="s">
        <v>5</v>
      </c>
      <c r="G1" t="s">
        <v>6</v>
      </c>
      <c r="H1" t="s">
        <v>7</v>
      </c>
      <c r="I1" s="1" t="s">
        <v>8</v>
      </c>
      <c r="J1" t="s">
        <v>9</v>
      </c>
      <c r="K1" t="s">
        <v>10</v>
      </c>
      <c r="L1" s="3" t="s">
        <v>11</v>
      </c>
      <c r="M1" s="2" t="s">
        <v>12</v>
      </c>
      <c r="N1" t="s">
        <v>13</v>
      </c>
      <c r="O1" t="s">
        <v>14</v>
      </c>
      <c r="P1" t="s">
        <v>15</v>
      </c>
      <c r="Q1" t="s">
        <v>16</v>
      </c>
      <c r="R1" t="s">
        <v>17</v>
      </c>
      <c r="S1" t="s">
        <v>18</v>
      </c>
      <c r="T1" t="s">
        <v>19</v>
      </c>
      <c r="U1" s="4" t="s">
        <v>20</v>
      </c>
      <c r="V1" t="s">
        <v>21</v>
      </c>
      <c r="W1" t="s">
        <v>22</v>
      </c>
      <c r="X1" t="s">
        <v>23</v>
      </c>
      <c r="Y1" t="s">
        <v>154</v>
      </c>
      <c r="Z1" s="4" t="s">
        <v>155</v>
      </c>
    </row>
    <row r="2" spans="1:26" x14ac:dyDescent="0.3">
      <c r="A2" s="3" t="s">
        <v>24</v>
      </c>
      <c r="B2" s="3" t="s">
        <v>25</v>
      </c>
      <c r="C2" s="2">
        <v>69.808005542115694</v>
      </c>
      <c r="D2" s="1">
        <v>55</v>
      </c>
      <c r="E2" s="1">
        <v>802</v>
      </c>
      <c r="F2" s="5">
        <v>8661.9967923923796</v>
      </c>
      <c r="G2" t="s">
        <v>26</v>
      </c>
      <c r="H2">
        <v>58</v>
      </c>
      <c r="I2" s="1">
        <v>7</v>
      </c>
      <c r="J2">
        <v>96</v>
      </c>
      <c r="K2">
        <v>4</v>
      </c>
      <c r="L2" s="3" t="s">
        <v>27</v>
      </c>
      <c r="M2" s="2">
        <v>2.9565721394308002</v>
      </c>
      <c r="N2" t="s">
        <v>28</v>
      </c>
      <c r="O2" t="s">
        <v>29</v>
      </c>
      <c r="P2">
        <v>29</v>
      </c>
      <c r="Q2">
        <v>215</v>
      </c>
      <c r="R2">
        <v>29</v>
      </c>
      <c r="S2">
        <v>46.279879240508301</v>
      </c>
      <c r="T2" t="s">
        <v>30</v>
      </c>
      <c r="U2" s="4">
        <v>0.226410360849925</v>
      </c>
      <c r="V2" t="s">
        <v>31</v>
      </c>
      <c r="W2" t="s">
        <v>32</v>
      </c>
      <c r="X2">
        <v>187.75207545920301</v>
      </c>
      <c r="Y2" s="2">
        <f>Table1[[#This Row],[Revenue generated]]-Table1[[#This Row],[Manufacturing costs]]-Table1[[#This Row],[Shipping costs]]</f>
        <v>8612.7603410124411</v>
      </c>
      <c r="Z2" s="4">
        <f t="shared" ref="Z2:Z33" si="0">(Y2/F2)</f>
        <v>0.9943158081721778</v>
      </c>
    </row>
    <row r="3" spans="1:26" x14ac:dyDescent="0.3">
      <c r="A3" s="3" t="s">
        <v>33</v>
      </c>
      <c r="B3" s="3" t="s">
        <v>34</v>
      </c>
      <c r="C3" s="2">
        <v>14.8435232750843</v>
      </c>
      <c r="D3" s="1">
        <v>95</v>
      </c>
      <c r="E3" s="1">
        <v>736</v>
      </c>
      <c r="F3" s="5">
        <v>7460.9000654458396</v>
      </c>
      <c r="G3" t="s">
        <v>35</v>
      </c>
      <c r="H3">
        <v>53</v>
      </c>
      <c r="I3" s="1">
        <v>30</v>
      </c>
      <c r="J3">
        <v>37</v>
      </c>
      <c r="K3">
        <v>2</v>
      </c>
      <c r="L3" s="3" t="s">
        <v>36</v>
      </c>
      <c r="M3" s="2">
        <v>9.7165747714313095</v>
      </c>
      <c r="N3" t="s">
        <v>28</v>
      </c>
      <c r="O3" t="s">
        <v>29</v>
      </c>
      <c r="P3">
        <v>23</v>
      </c>
      <c r="Q3">
        <v>517</v>
      </c>
      <c r="R3">
        <v>30</v>
      </c>
      <c r="S3">
        <v>33.616768953730002</v>
      </c>
      <c r="T3" t="s">
        <v>30</v>
      </c>
      <c r="U3" s="4">
        <v>4.8540680263886999</v>
      </c>
      <c r="V3" t="s">
        <v>31</v>
      </c>
      <c r="W3" t="s">
        <v>32</v>
      </c>
      <c r="X3">
        <v>503.06557914966902</v>
      </c>
      <c r="Y3" s="2">
        <f>Table1[[#This Row],[Revenue generated]]-Table1[[#This Row],[Manufacturing costs]]-Table1[[#This Row],[Shipping costs]]</f>
        <v>7417.5667217206783</v>
      </c>
      <c r="Z3" s="4">
        <f t="shared" si="0"/>
        <v>0.99419194154256885</v>
      </c>
    </row>
    <row r="4" spans="1:26" x14ac:dyDescent="0.3">
      <c r="A4" s="3" t="s">
        <v>24</v>
      </c>
      <c r="B4" s="3" t="s">
        <v>37</v>
      </c>
      <c r="C4" s="2">
        <v>11.319683293090501</v>
      </c>
      <c r="D4" s="1">
        <v>34</v>
      </c>
      <c r="E4" s="1">
        <v>8</v>
      </c>
      <c r="F4" s="5">
        <v>9577.7496258687297</v>
      </c>
      <c r="G4" t="s">
        <v>38</v>
      </c>
      <c r="H4">
        <v>1</v>
      </c>
      <c r="I4" s="1">
        <v>10</v>
      </c>
      <c r="J4">
        <v>88</v>
      </c>
      <c r="K4">
        <v>2</v>
      </c>
      <c r="L4" s="3" t="s">
        <v>27</v>
      </c>
      <c r="M4" s="2">
        <v>8.0544792617321495</v>
      </c>
      <c r="N4" t="s">
        <v>39</v>
      </c>
      <c r="O4" t="s">
        <v>29</v>
      </c>
      <c r="P4">
        <v>12</v>
      </c>
      <c r="Q4">
        <v>971</v>
      </c>
      <c r="R4">
        <v>27</v>
      </c>
      <c r="S4">
        <v>30.6880193482842</v>
      </c>
      <c r="T4" t="s">
        <v>30</v>
      </c>
      <c r="U4" s="4">
        <v>4.5805926191992201</v>
      </c>
      <c r="V4" t="s">
        <v>40</v>
      </c>
      <c r="W4" t="s">
        <v>41</v>
      </c>
      <c r="X4">
        <v>141.920281771519</v>
      </c>
      <c r="Y4" s="2">
        <f>Table1[[#This Row],[Revenue generated]]-Table1[[#This Row],[Manufacturing costs]]-Table1[[#This Row],[Shipping costs]]</f>
        <v>9539.007127258712</v>
      </c>
      <c r="Z4" s="4">
        <f t="shared" si="0"/>
        <v>0.99595494765227754</v>
      </c>
    </row>
    <row r="5" spans="1:26" x14ac:dyDescent="0.3">
      <c r="A5" s="3" t="s">
        <v>33</v>
      </c>
      <c r="B5" s="3" t="s">
        <v>42</v>
      </c>
      <c r="C5" s="2">
        <v>61.1633430164377</v>
      </c>
      <c r="D5" s="1">
        <v>68</v>
      </c>
      <c r="E5" s="1">
        <v>83</v>
      </c>
      <c r="F5" s="5">
        <v>7766.8364256852301</v>
      </c>
      <c r="G5" t="s">
        <v>26</v>
      </c>
      <c r="H5">
        <v>23</v>
      </c>
      <c r="I5" s="1">
        <v>13</v>
      </c>
      <c r="J5">
        <v>59</v>
      </c>
      <c r="K5">
        <v>6</v>
      </c>
      <c r="L5" s="3" t="s">
        <v>43</v>
      </c>
      <c r="M5" s="2">
        <v>1.7295685635434199</v>
      </c>
      <c r="N5" t="s">
        <v>44</v>
      </c>
      <c r="O5" t="s">
        <v>45</v>
      </c>
      <c r="P5">
        <v>24</v>
      </c>
      <c r="Q5">
        <v>937</v>
      </c>
      <c r="R5">
        <v>18</v>
      </c>
      <c r="S5">
        <v>35.624741397125</v>
      </c>
      <c r="T5" t="s">
        <v>46</v>
      </c>
      <c r="U5" s="4">
        <v>4.7466486206477496</v>
      </c>
      <c r="V5" t="s">
        <v>47</v>
      </c>
      <c r="W5" t="s">
        <v>48</v>
      </c>
      <c r="X5">
        <v>254.776159219286</v>
      </c>
      <c r="Y5" s="2">
        <f>Table1[[#This Row],[Revenue generated]]-Table1[[#This Row],[Manufacturing costs]]-Table1[[#This Row],[Shipping costs]]</f>
        <v>7729.4821157245615</v>
      </c>
      <c r="Z5" s="4">
        <f t="shared" si="0"/>
        <v>0.99519053731617979</v>
      </c>
    </row>
    <row r="6" spans="1:26" x14ac:dyDescent="0.3">
      <c r="A6" s="3" t="s">
        <v>33</v>
      </c>
      <c r="B6" s="3" t="s">
        <v>49</v>
      </c>
      <c r="C6" s="2">
        <v>4.8054960363458896</v>
      </c>
      <c r="D6" s="1">
        <v>26</v>
      </c>
      <c r="E6" s="1">
        <v>871</v>
      </c>
      <c r="F6" s="5">
        <v>2686.50515156744</v>
      </c>
      <c r="G6" t="s">
        <v>26</v>
      </c>
      <c r="H6">
        <v>5</v>
      </c>
      <c r="I6" s="1">
        <v>3</v>
      </c>
      <c r="J6">
        <v>56</v>
      </c>
      <c r="K6">
        <v>8</v>
      </c>
      <c r="L6" s="3" t="s">
        <v>36</v>
      </c>
      <c r="M6" s="2">
        <v>3.8905479158706702</v>
      </c>
      <c r="N6" t="s">
        <v>39</v>
      </c>
      <c r="O6" t="s">
        <v>50</v>
      </c>
      <c r="P6">
        <v>5</v>
      </c>
      <c r="Q6">
        <v>414</v>
      </c>
      <c r="R6">
        <v>3</v>
      </c>
      <c r="S6">
        <v>92.065160598712794</v>
      </c>
      <c r="T6" t="s">
        <v>46</v>
      </c>
      <c r="U6" s="4">
        <v>3.1455795228330001</v>
      </c>
      <c r="V6" t="s">
        <v>40</v>
      </c>
      <c r="W6" t="s">
        <v>48</v>
      </c>
      <c r="X6">
        <v>923.44063171192204</v>
      </c>
      <c r="Y6" s="2">
        <f>Table1[[#This Row],[Revenue generated]]-Table1[[#This Row],[Manufacturing costs]]-Table1[[#This Row],[Shipping costs]]</f>
        <v>2590.5494430528565</v>
      </c>
      <c r="Z6" s="4">
        <f t="shared" si="0"/>
        <v>0.96428232848963713</v>
      </c>
    </row>
    <row r="7" spans="1:26" x14ac:dyDescent="0.3">
      <c r="A7" s="3" t="s">
        <v>24</v>
      </c>
      <c r="B7" s="3" t="s">
        <v>51</v>
      </c>
      <c r="C7" s="2">
        <v>1.6999760138659299</v>
      </c>
      <c r="D7" s="1">
        <v>87</v>
      </c>
      <c r="E7" s="1">
        <v>147</v>
      </c>
      <c r="F7" s="5">
        <v>2828.3487459757498</v>
      </c>
      <c r="G7" t="s">
        <v>26</v>
      </c>
      <c r="H7">
        <v>90</v>
      </c>
      <c r="I7" s="1">
        <v>27</v>
      </c>
      <c r="J7">
        <v>66</v>
      </c>
      <c r="K7">
        <v>3</v>
      </c>
      <c r="L7" s="3" t="s">
        <v>27</v>
      </c>
      <c r="M7" s="2">
        <v>4.4440988643822896</v>
      </c>
      <c r="N7" t="s">
        <v>52</v>
      </c>
      <c r="O7" t="s">
        <v>53</v>
      </c>
      <c r="P7">
        <v>10</v>
      </c>
      <c r="Q7">
        <v>104</v>
      </c>
      <c r="R7">
        <v>17</v>
      </c>
      <c r="S7">
        <v>56.766475557431797</v>
      </c>
      <c r="T7" t="s">
        <v>46</v>
      </c>
      <c r="U7" s="4">
        <v>2.7791935115711599</v>
      </c>
      <c r="V7" t="s">
        <v>31</v>
      </c>
      <c r="W7" t="s">
        <v>48</v>
      </c>
      <c r="X7">
        <v>235.461236735537</v>
      </c>
      <c r="Y7" s="2">
        <f>Table1[[#This Row],[Revenue generated]]-Table1[[#This Row],[Manufacturing costs]]-Table1[[#This Row],[Shipping costs]]</f>
        <v>2767.1381715539355</v>
      </c>
      <c r="Z7" s="4">
        <f t="shared" si="0"/>
        <v>0.97835819415519165</v>
      </c>
    </row>
    <row r="8" spans="1:26" x14ac:dyDescent="0.3">
      <c r="A8" s="3" t="s">
        <v>33</v>
      </c>
      <c r="B8" s="3" t="s">
        <v>54</v>
      </c>
      <c r="C8" s="2">
        <v>4.0783328631079403</v>
      </c>
      <c r="D8" s="1">
        <v>48</v>
      </c>
      <c r="E8" s="1">
        <v>65</v>
      </c>
      <c r="F8" s="5">
        <v>7823.4765595317303</v>
      </c>
      <c r="G8" t="s">
        <v>55</v>
      </c>
      <c r="H8">
        <v>11</v>
      </c>
      <c r="I8" s="1">
        <v>15</v>
      </c>
      <c r="J8">
        <v>58</v>
      </c>
      <c r="K8">
        <v>8</v>
      </c>
      <c r="L8" s="3" t="s">
        <v>43</v>
      </c>
      <c r="M8" s="2">
        <v>3.8807633029519999</v>
      </c>
      <c r="N8" t="s">
        <v>28</v>
      </c>
      <c r="O8" t="s">
        <v>45</v>
      </c>
      <c r="P8">
        <v>14</v>
      </c>
      <c r="Q8">
        <v>314</v>
      </c>
      <c r="R8">
        <v>24</v>
      </c>
      <c r="S8">
        <v>1.0850685695870601</v>
      </c>
      <c r="T8" t="s">
        <v>30</v>
      </c>
      <c r="U8" s="4">
        <v>1.0009106193041299</v>
      </c>
      <c r="V8" t="s">
        <v>56</v>
      </c>
      <c r="W8" t="s">
        <v>48</v>
      </c>
      <c r="X8">
        <v>134.36909686103101</v>
      </c>
      <c r="Y8" s="2">
        <f>Table1[[#This Row],[Revenue generated]]-Table1[[#This Row],[Manufacturing costs]]-Table1[[#This Row],[Shipping costs]]</f>
        <v>7818.5107276591916</v>
      </c>
      <c r="Z8" s="4">
        <f t="shared" si="0"/>
        <v>0.99936526532229608</v>
      </c>
    </row>
    <row r="9" spans="1:26" x14ac:dyDescent="0.3">
      <c r="A9" s="3" t="s">
        <v>57</v>
      </c>
      <c r="B9" s="3" t="s">
        <v>58</v>
      </c>
      <c r="C9" s="2">
        <v>42.958384382459997</v>
      </c>
      <c r="D9" s="1">
        <v>59</v>
      </c>
      <c r="E9" s="1">
        <v>426</v>
      </c>
      <c r="F9" s="5">
        <v>8496.1038130898305</v>
      </c>
      <c r="G9" t="s">
        <v>35</v>
      </c>
      <c r="H9">
        <v>93</v>
      </c>
      <c r="I9" s="1">
        <v>17</v>
      </c>
      <c r="J9">
        <v>11</v>
      </c>
      <c r="K9">
        <v>1</v>
      </c>
      <c r="L9" s="3" t="s">
        <v>27</v>
      </c>
      <c r="M9" s="2">
        <v>2.3483387844177801</v>
      </c>
      <c r="N9" t="s">
        <v>52</v>
      </c>
      <c r="O9" t="s">
        <v>53</v>
      </c>
      <c r="P9">
        <v>22</v>
      </c>
      <c r="Q9">
        <v>564</v>
      </c>
      <c r="R9">
        <v>1</v>
      </c>
      <c r="S9">
        <v>99.466108603599096</v>
      </c>
      <c r="T9" t="s">
        <v>46</v>
      </c>
      <c r="U9" s="4">
        <v>0.39817718685065001</v>
      </c>
      <c r="V9" t="s">
        <v>31</v>
      </c>
      <c r="W9" t="s">
        <v>41</v>
      </c>
      <c r="X9">
        <v>802.05631181755803</v>
      </c>
      <c r="Y9" s="2">
        <f>Table1[[#This Row],[Revenue generated]]-Table1[[#This Row],[Manufacturing costs]]-Table1[[#This Row],[Shipping costs]]</f>
        <v>8394.2893657018139</v>
      </c>
      <c r="Z9" s="4">
        <f t="shared" si="0"/>
        <v>0.98801633670822708</v>
      </c>
    </row>
    <row r="10" spans="1:26" x14ac:dyDescent="0.3">
      <c r="A10" s="3" t="s">
        <v>57</v>
      </c>
      <c r="B10" s="3" t="s">
        <v>59</v>
      </c>
      <c r="C10" s="2">
        <v>68.717596748527299</v>
      </c>
      <c r="D10" s="1">
        <v>78</v>
      </c>
      <c r="E10" s="1">
        <v>150</v>
      </c>
      <c r="F10" s="5">
        <v>7517.3632106311197</v>
      </c>
      <c r="G10" t="s">
        <v>35</v>
      </c>
      <c r="H10">
        <v>5</v>
      </c>
      <c r="I10" s="1">
        <v>10</v>
      </c>
      <c r="J10">
        <v>15</v>
      </c>
      <c r="K10">
        <v>7</v>
      </c>
      <c r="L10" s="3" t="s">
        <v>43</v>
      </c>
      <c r="M10" s="2">
        <v>3.4047338570830199</v>
      </c>
      <c r="N10" t="s">
        <v>52</v>
      </c>
      <c r="O10" t="s">
        <v>29</v>
      </c>
      <c r="P10">
        <v>13</v>
      </c>
      <c r="Q10">
        <v>769</v>
      </c>
      <c r="R10">
        <v>8</v>
      </c>
      <c r="S10">
        <v>11.423027139565599</v>
      </c>
      <c r="T10" t="s">
        <v>30</v>
      </c>
      <c r="U10" s="4">
        <v>2.7098626911099601</v>
      </c>
      <c r="V10" t="s">
        <v>56</v>
      </c>
      <c r="W10" t="s">
        <v>32</v>
      </c>
      <c r="X10">
        <v>505.55713422546398</v>
      </c>
      <c r="Y10" s="2">
        <f>Table1[[#This Row],[Revenue generated]]-Table1[[#This Row],[Manufacturing costs]]-Table1[[#This Row],[Shipping costs]]</f>
        <v>7502.5354496344717</v>
      </c>
      <c r="Z10" s="4">
        <f t="shared" si="0"/>
        <v>0.99802753165156655</v>
      </c>
    </row>
    <row r="11" spans="1:26" x14ac:dyDescent="0.3">
      <c r="A11" s="3" t="s">
        <v>33</v>
      </c>
      <c r="B11" s="3" t="s">
        <v>60</v>
      </c>
      <c r="C11" s="2">
        <v>64.0157329412785</v>
      </c>
      <c r="D11" s="1">
        <v>35</v>
      </c>
      <c r="E11" s="1">
        <v>980</v>
      </c>
      <c r="F11" s="5">
        <v>4971.1459875855498</v>
      </c>
      <c r="G11" t="s">
        <v>38</v>
      </c>
      <c r="H11">
        <v>14</v>
      </c>
      <c r="I11" s="1">
        <v>27</v>
      </c>
      <c r="J11">
        <v>83</v>
      </c>
      <c r="K11">
        <v>1</v>
      </c>
      <c r="L11" s="3" t="s">
        <v>36</v>
      </c>
      <c r="M11" s="2">
        <v>7.1666452910482104</v>
      </c>
      <c r="N11" t="s">
        <v>61</v>
      </c>
      <c r="O11" t="s">
        <v>62</v>
      </c>
      <c r="P11">
        <v>29</v>
      </c>
      <c r="Q11">
        <v>963</v>
      </c>
      <c r="R11">
        <v>23</v>
      </c>
      <c r="S11">
        <v>47.957601634951502</v>
      </c>
      <c r="T11" t="s">
        <v>30</v>
      </c>
      <c r="U11" s="4">
        <v>3.8446144787675798</v>
      </c>
      <c r="V11" t="s">
        <v>47</v>
      </c>
      <c r="W11" t="s">
        <v>32</v>
      </c>
      <c r="X11">
        <v>995.92946149864099</v>
      </c>
      <c r="Y11" s="2">
        <f>Table1[[#This Row],[Revenue generated]]-Table1[[#This Row],[Manufacturing costs]]-Table1[[#This Row],[Shipping costs]]</f>
        <v>4916.0217406595502</v>
      </c>
      <c r="Z11" s="4">
        <f t="shared" si="0"/>
        <v>0.98891115910422633</v>
      </c>
    </row>
    <row r="12" spans="1:26" x14ac:dyDescent="0.3">
      <c r="A12" s="3" t="s">
        <v>33</v>
      </c>
      <c r="B12" s="3" t="s">
        <v>63</v>
      </c>
      <c r="C12" s="2">
        <v>15.707795681912099</v>
      </c>
      <c r="D12" s="1">
        <v>11</v>
      </c>
      <c r="E12" s="1">
        <v>996</v>
      </c>
      <c r="F12" s="5">
        <v>2330.9658020919401</v>
      </c>
      <c r="G12" t="s">
        <v>26</v>
      </c>
      <c r="H12">
        <v>51</v>
      </c>
      <c r="I12" s="1">
        <v>13</v>
      </c>
      <c r="J12">
        <v>80</v>
      </c>
      <c r="K12">
        <v>2</v>
      </c>
      <c r="L12" s="3" t="s">
        <v>43</v>
      </c>
      <c r="M12" s="2">
        <v>8.6732112112786108</v>
      </c>
      <c r="N12" t="s">
        <v>44</v>
      </c>
      <c r="O12" t="s">
        <v>45</v>
      </c>
      <c r="P12">
        <v>18</v>
      </c>
      <c r="Q12">
        <v>830</v>
      </c>
      <c r="R12">
        <v>5</v>
      </c>
      <c r="S12">
        <v>96.527352785310896</v>
      </c>
      <c r="T12" t="s">
        <v>64</v>
      </c>
      <c r="U12" s="4">
        <v>1.72731392835594</v>
      </c>
      <c r="V12" t="s">
        <v>31</v>
      </c>
      <c r="W12" t="s">
        <v>32</v>
      </c>
      <c r="X12">
        <v>806.10317770292295</v>
      </c>
      <c r="Y12" s="2">
        <f>Table1[[#This Row],[Revenue generated]]-Table1[[#This Row],[Manufacturing costs]]-Table1[[#This Row],[Shipping costs]]</f>
        <v>2225.7652380953505</v>
      </c>
      <c r="Z12" s="4">
        <f t="shared" si="0"/>
        <v>0.95486825079021898</v>
      </c>
    </row>
    <row r="13" spans="1:26" x14ac:dyDescent="0.3">
      <c r="A13" s="3" t="s">
        <v>33</v>
      </c>
      <c r="B13" s="3" t="s">
        <v>65</v>
      </c>
      <c r="C13" s="2">
        <v>90.635459982288594</v>
      </c>
      <c r="D13" s="1">
        <v>95</v>
      </c>
      <c r="E13" s="1">
        <v>960</v>
      </c>
      <c r="F13" s="5">
        <v>6099.9441155814502</v>
      </c>
      <c r="G13" t="s">
        <v>35</v>
      </c>
      <c r="H13">
        <v>46</v>
      </c>
      <c r="I13" s="1">
        <v>23</v>
      </c>
      <c r="J13">
        <v>60</v>
      </c>
      <c r="K13">
        <v>1</v>
      </c>
      <c r="L13" s="3" t="s">
        <v>36</v>
      </c>
      <c r="M13" s="2">
        <v>4.5239431243166601</v>
      </c>
      <c r="N13" t="s">
        <v>61</v>
      </c>
      <c r="O13" t="s">
        <v>45</v>
      </c>
      <c r="P13">
        <v>28</v>
      </c>
      <c r="Q13">
        <v>362</v>
      </c>
      <c r="R13">
        <v>11</v>
      </c>
      <c r="S13">
        <v>27.5923630866636</v>
      </c>
      <c r="T13" t="s">
        <v>30</v>
      </c>
      <c r="U13" s="4">
        <v>2.1169821372994301E-2</v>
      </c>
      <c r="V13" t="s">
        <v>40</v>
      </c>
      <c r="W13" t="s">
        <v>48</v>
      </c>
      <c r="X13">
        <v>126.72303340940699</v>
      </c>
      <c r="Y13" s="2">
        <f>Table1[[#This Row],[Revenue generated]]-Table1[[#This Row],[Manufacturing costs]]-Table1[[#This Row],[Shipping costs]]</f>
        <v>6067.8278093704703</v>
      </c>
      <c r="Z13" s="4">
        <f t="shared" si="0"/>
        <v>0.99473498353387479</v>
      </c>
    </row>
    <row r="14" spans="1:26" x14ac:dyDescent="0.3">
      <c r="A14" s="3" t="s">
        <v>24</v>
      </c>
      <c r="B14" s="3" t="s">
        <v>66</v>
      </c>
      <c r="C14" s="2">
        <v>71.213389075359999</v>
      </c>
      <c r="D14" s="1">
        <v>41</v>
      </c>
      <c r="E14" s="1">
        <v>336</v>
      </c>
      <c r="F14" s="5">
        <v>2873.74144602144</v>
      </c>
      <c r="G14" t="s">
        <v>38</v>
      </c>
      <c r="H14">
        <v>100</v>
      </c>
      <c r="I14" s="1">
        <v>30</v>
      </c>
      <c r="J14">
        <v>85</v>
      </c>
      <c r="K14">
        <v>4</v>
      </c>
      <c r="L14" s="3" t="s">
        <v>36</v>
      </c>
      <c r="M14" s="2">
        <v>1.32527401018452</v>
      </c>
      <c r="N14" t="s">
        <v>52</v>
      </c>
      <c r="O14" t="s">
        <v>45</v>
      </c>
      <c r="P14">
        <v>3</v>
      </c>
      <c r="Q14">
        <v>563</v>
      </c>
      <c r="R14">
        <v>3</v>
      </c>
      <c r="S14">
        <v>32.321286213424003</v>
      </c>
      <c r="T14" t="s">
        <v>46</v>
      </c>
      <c r="U14" s="4">
        <v>2.1612537475559099</v>
      </c>
      <c r="V14" t="s">
        <v>31</v>
      </c>
      <c r="W14" t="s">
        <v>32</v>
      </c>
      <c r="X14">
        <v>402.96878907376998</v>
      </c>
      <c r="Y14" s="2">
        <f>Table1[[#This Row],[Revenue generated]]-Table1[[#This Row],[Manufacturing costs]]-Table1[[#This Row],[Shipping costs]]</f>
        <v>2840.0948857978315</v>
      </c>
      <c r="Z14" s="4">
        <f t="shared" si="0"/>
        <v>0.98829172322715719</v>
      </c>
    </row>
    <row r="15" spans="1:26" x14ac:dyDescent="0.3">
      <c r="A15" s="3" t="s">
        <v>33</v>
      </c>
      <c r="B15" s="3" t="s">
        <v>67</v>
      </c>
      <c r="C15" s="2">
        <v>16.160393317379899</v>
      </c>
      <c r="D15" s="1">
        <v>5</v>
      </c>
      <c r="E15" s="1">
        <v>249</v>
      </c>
      <c r="F15" s="5">
        <v>4052.7384162378598</v>
      </c>
      <c r="G15" t="s">
        <v>55</v>
      </c>
      <c r="H15">
        <v>80</v>
      </c>
      <c r="I15" s="1">
        <v>8</v>
      </c>
      <c r="J15">
        <v>48</v>
      </c>
      <c r="K15">
        <v>9</v>
      </c>
      <c r="L15" s="3" t="s">
        <v>36</v>
      </c>
      <c r="M15" s="2">
        <v>9.5372830611083295</v>
      </c>
      <c r="N15" t="s">
        <v>44</v>
      </c>
      <c r="O15" t="s">
        <v>53</v>
      </c>
      <c r="P15">
        <v>23</v>
      </c>
      <c r="Q15">
        <v>173</v>
      </c>
      <c r="R15">
        <v>10</v>
      </c>
      <c r="S15">
        <v>97.829050110173199</v>
      </c>
      <c r="T15" t="s">
        <v>30</v>
      </c>
      <c r="U15" s="4">
        <v>1.63107423007153</v>
      </c>
      <c r="V15" t="s">
        <v>31</v>
      </c>
      <c r="W15" t="s">
        <v>32</v>
      </c>
      <c r="X15">
        <v>547.24100516096803</v>
      </c>
      <c r="Y15" s="2">
        <f>Table1[[#This Row],[Revenue generated]]-Table1[[#This Row],[Manufacturing costs]]-Table1[[#This Row],[Shipping costs]]</f>
        <v>3945.3720830665784</v>
      </c>
      <c r="Z15" s="4">
        <f t="shared" si="0"/>
        <v>0.97350770709969747</v>
      </c>
    </row>
    <row r="16" spans="1:26" x14ac:dyDescent="0.3">
      <c r="A16" s="3" t="s">
        <v>33</v>
      </c>
      <c r="B16" s="3" t="s">
        <v>68</v>
      </c>
      <c r="C16" s="2">
        <v>99.171328638624104</v>
      </c>
      <c r="D16" s="1">
        <v>26</v>
      </c>
      <c r="E16" s="1">
        <v>562</v>
      </c>
      <c r="F16" s="5">
        <v>8653.5709264697998</v>
      </c>
      <c r="G16" t="s">
        <v>26</v>
      </c>
      <c r="H16">
        <v>54</v>
      </c>
      <c r="I16" s="1">
        <v>29</v>
      </c>
      <c r="J16">
        <v>78</v>
      </c>
      <c r="K16">
        <v>5</v>
      </c>
      <c r="L16" s="3" t="s">
        <v>27</v>
      </c>
      <c r="M16" s="2">
        <v>2.0397701894493299</v>
      </c>
      <c r="N16" t="s">
        <v>39</v>
      </c>
      <c r="O16" t="s">
        <v>45</v>
      </c>
      <c r="P16">
        <v>25</v>
      </c>
      <c r="Q16">
        <v>558</v>
      </c>
      <c r="R16">
        <v>14</v>
      </c>
      <c r="S16">
        <v>5.7914366298629796</v>
      </c>
      <c r="T16" t="s">
        <v>30</v>
      </c>
      <c r="U16" s="4">
        <v>0.100682851565093</v>
      </c>
      <c r="V16" t="s">
        <v>40</v>
      </c>
      <c r="W16" t="s">
        <v>32</v>
      </c>
      <c r="X16">
        <v>929.23528996088896</v>
      </c>
      <c r="Y16" s="2">
        <f>Table1[[#This Row],[Revenue generated]]-Table1[[#This Row],[Manufacturing costs]]-Table1[[#This Row],[Shipping costs]]</f>
        <v>8645.739719650488</v>
      </c>
      <c r="Z16" s="4">
        <f t="shared" si="0"/>
        <v>0.99909503176366676</v>
      </c>
    </row>
    <row r="17" spans="1:26" x14ac:dyDescent="0.3">
      <c r="A17" s="3" t="s">
        <v>33</v>
      </c>
      <c r="B17" s="3" t="s">
        <v>69</v>
      </c>
      <c r="C17" s="2">
        <v>36.989244928626903</v>
      </c>
      <c r="D17" s="1">
        <v>94</v>
      </c>
      <c r="E17" s="1">
        <v>469</v>
      </c>
      <c r="F17" s="5">
        <v>5442.0867853976697</v>
      </c>
      <c r="G17" t="s">
        <v>26</v>
      </c>
      <c r="H17">
        <v>9</v>
      </c>
      <c r="I17" s="1">
        <v>8</v>
      </c>
      <c r="J17">
        <v>69</v>
      </c>
      <c r="K17">
        <v>7</v>
      </c>
      <c r="L17" s="3" t="s">
        <v>27</v>
      </c>
      <c r="M17" s="2">
        <v>2.4220397232752</v>
      </c>
      <c r="N17" t="s">
        <v>39</v>
      </c>
      <c r="O17" t="s">
        <v>53</v>
      </c>
      <c r="P17">
        <v>14</v>
      </c>
      <c r="Q17">
        <v>580</v>
      </c>
      <c r="R17">
        <v>7</v>
      </c>
      <c r="S17">
        <v>97.121281751474299</v>
      </c>
      <c r="T17" t="s">
        <v>64</v>
      </c>
      <c r="U17" s="4">
        <v>2.2644057611985402</v>
      </c>
      <c r="V17" t="s">
        <v>56</v>
      </c>
      <c r="W17" t="s">
        <v>32</v>
      </c>
      <c r="X17">
        <v>127.861800001625</v>
      </c>
      <c r="Y17" s="2">
        <f>Table1[[#This Row],[Revenue generated]]-Table1[[#This Row],[Manufacturing costs]]-Table1[[#This Row],[Shipping costs]]</f>
        <v>5342.5434639229206</v>
      </c>
      <c r="Z17" s="4">
        <f t="shared" si="0"/>
        <v>0.98170861189831704</v>
      </c>
    </row>
    <row r="18" spans="1:26" x14ac:dyDescent="0.3">
      <c r="A18" s="3" t="s">
        <v>33</v>
      </c>
      <c r="B18" s="3" t="s">
        <v>70</v>
      </c>
      <c r="C18" s="2">
        <v>7.5471721097912701</v>
      </c>
      <c r="D18" s="1">
        <v>74</v>
      </c>
      <c r="E18" s="1">
        <v>280</v>
      </c>
      <c r="F18" s="5">
        <v>6453.7979681762799</v>
      </c>
      <c r="G18" t="s">
        <v>35</v>
      </c>
      <c r="H18">
        <v>2</v>
      </c>
      <c r="I18" s="1">
        <v>5</v>
      </c>
      <c r="J18">
        <v>78</v>
      </c>
      <c r="K18">
        <v>1</v>
      </c>
      <c r="L18" s="3" t="s">
        <v>27</v>
      </c>
      <c r="M18" s="2">
        <v>4.1913245857054999</v>
      </c>
      <c r="N18" t="s">
        <v>39</v>
      </c>
      <c r="O18" t="s">
        <v>53</v>
      </c>
      <c r="P18">
        <v>3</v>
      </c>
      <c r="Q18">
        <v>399</v>
      </c>
      <c r="R18">
        <v>21</v>
      </c>
      <c r="S18">
        <v>77.106342497849994</v>
      </c>
      <c r="T18" t="s">
        <v>64</v>
      </c>
      <c r="U18" s="4">
        <v>1.01256308925804</v>
      </c>
      <c r="V18" t="s">
        <v>40</v>
      </c>
      <c r="W18" t="s">
        <v>48</v>
      </c>
      <c r="X18">
        <v>865.52577977123997</v>
      </c>
      <c r="Y18" s="2">
        <f>Table1[[#This Row],[Revenue generated]]-Table1[[#This Row],[Manufacturing costs]]-Table1[[#This Row],[Shipping costs]]</f>
        <v>6372.5003010927239</v>
      </c>
      <c r="Z18" s="4">
        <f t="shared" si="0"/>
        <v>0.98740312797449881</v>
      </c>
    </row>
    <row r="19" spans="1:26" x14ac:dyDescent="0.3">
      <c r="A19" s="3" t="s">
        <v>57</v>
      </c>
      <c r="B19" s="3" t="s">
        <v>71</v>
      </c>
      <c r="C19" s="2">
        <v>81.462534369237005</v>
      </c>
      <c r="D19" s="1">
        <v>82</v>
      </c>
      <c r="E19" s="1">
        <v>126</v>
      </c>
      <c r="F19" s="5">
        <v>2629.39643484526</v>
      </c>
      <c r="G19" t="s">
        <v>35</v>
      </c>
      <c r="H19">
        <v>45</v>
      </c>
      <c r="I19" s="1">
        <v>17</v>
      </c>
      <c r="J19">
        <v>85</v>
      </c>
      <c r="K19">
        <v>9</v>
      </c>
      <c r="L19" s="3" t="s">
        <v>43</v>
      </c>
      <c r="M19" s="2">
        <v>3.5854189582323399</v>
      </c>
      <c r="N19" t="s">
        <v>39</v>
      </c>
      <c r="O19" t="s">
        <v>62</v>
      </c>
      <c r="P19">
        <v>7</v>
      </c>
      <c r="Q19">
        <v>453</v>
      </c>
      <c r="R19">
        <v>16</v>
      </c>
      <c r="S19">
        <v>47.679680368355299</v>
      </c>
      <c r="T19" t="s">
        <v>46</v>
      </c>
      <c r="U19" s="4">
        <v>0.102020754918176</v>
      </c>
      <c r="V19" t="s">
        <v>40</v>
      </c>
      <c r="W19" t="s">
        <v>41</v>
      </c>
      <c r="X19">
        <v>670.93439079241</v>
      </c>
      <c r="Y19" s="2">
        <f>Table1[[#This Row],[Revenue generated]]-Table1[[#This Row],[Manufacturing costs]]-Table1[[#This Row],[Shipping costs]]</f>
        <v>2578.1313355186726</v>
      </c>
      <c r="Z19" s="4">
        <f t="shared" si="0"/>
        <v>0.98050309240279909</v>
      </c>
    </row>
    <row r="20" spans="1:26" x14ac:dyDescent="0.3">
      <c r="A20" s="3" t="s">
        <v>24</v>
      </c>
      <c r="B20" s="3" t="s">
        <v>72</v>
      </c>
      <c r="C20" s="2">
        <v>36.4436277704609</v>
      </c>
      <c r="D20" s="1">
        <v>23</v>
      </c>
      <c r="E20" s="1">
        <v>620</v>
      </c>
      <c r="F20" s="5">
        <v>9364.6735050761708</v>
      </c>
      <c r="G20" t="s">
        <v>38</v>
      </c>
      <c r="H20">
        <v>10</v>
      </c>
      <c r="I20" s="1">
        <v>10</v>
      </c>
      <c r="J20">
        <v>46</v>
      </c>
      <c r="K20">
        <v>8</v>
      </c>
      <c r="L20" s="3" t="s">
        <v>43</v>
      </c>
      <c r="M20" s="2">
        <v>4.3392247141107001</v>
      </c>
      <c r="N20" t="s">
        <v>61</v>
      </c>
      <c r="O20" t="s">
        <v>45</v>
      </c>
      <c r="P20">
        <v>18</v>
      </c>
      <c r="Q20">
        <v>374</v>
      </c>
      <c r="R20">
        <v>17</v>
      </c>
      <c r="S20">
        <v>27.107980854843898</v>
      </c>
      <c r="T20" t="s">
        <v>30</v>
      </c>
      <c r="U20" s="4">
        <v>2.2319391107292601</v>
      </c>
      <c r="V20" t="s">
        <v>56</v>
      </c>
      <c r="W20" t="s">
        <v>48</v>
      </c>
      <c r="X20">
        <v>593.48025872065102</v>
      </c>
      <c r="Y20" s="2">
        <f>Table1[[#This Row],[Revenue generated]]-Table1[[#This Row],[Manufacturing costs]]-Table1[[#This Row],[Shipping costs]]</f>
        <v>9333.226299507216</v>
      </c>
      <c r="Z20" s="4">
        <f t="shared" si="0"/>
        <v>0.99664193251885302</v>
      </c>
    </row>
    <row r="21" spans="1:26" x14ac:dyDescent="0.3">
      <c r="A21" s="3" t="s">
        <v>33</v>
      </c>
      <c r="B21" s="3" t="s">
        <v>73</v>
      </c>
      <c r="C21" s="2">
        <v>51.123870087964697</v>
      </c>
      <c r="D21" s="1">
        <v>100</v>
      </c>
      <c r="E21" s="1">
        <v>187</v>
      </c>
      <c r="F21" s="5">
        <v>2553.4955849912099</v>
      </c>
      <c r="G21" t="s">
        <v>38</v>
      </c>
      <c r="H21">
        <v>48</v>
      </c>
      <c r="I21" s="1">
        <v>11</v>
      </c>
      <c r="J21">
        <v>94</v>
      </c>
      <c r="K21">
        <v>3</v>
      </c>
      <c r="L21" s="3" t="s">
        <v>36</v>
      </c>
      <c r="M21" s="2">
        <v>4.7426358828418698</v>
      </c>
      <c r="N21" t="s">
        <v>52</v>
      </c>
      <c r="O21" t="s">
        <v>62</v>
      </c>
      <c r="P21">
        <v>20</v>
      </c>
      <c r="Q21">
        <v>694</v>
      </c>
      <c r="R21">
        <v>16</v>
      </c>
      <c r="S21">
        <v>82.373320587990193</v>
      </c>
      <c r="T21" t="s">
        <v>46</v>
      </c>
      <c r="U21" s="4">
        <v>3.64645086541702</v>
      </c>
      <c r="V21" t="s">
        <v>31</v>
      </c>
      <c r="W21" t="s">
        <v>41</v>
      </c>
      <c r="X21">
        <v>477.30763109090299</v>
      </c>
      <c r="Y21" s="2">
        <f>Table1[[#This Row],[Revenue generated]]-Table1[[#This Row],[Manufacturing costs]]-Table1[[#This Row],[Shipping costs]]</f>
        <v>2466.3796285203775</v>
      </c>
      <c r="Z21" s="4">
        <f t="shared" si="0"/>
        <v>0.9658836471138319</v>
      </c>
    </row>
    <row r="22" spans="1:26" x14ac:dyDescent="0.3">
      <c r="A22" s="3" t="s">
        <v>33</v>
      </c>
      <c r="B22" s="3" t="s">
        <v>74</v>
      </c>
      <c r="C22" s="2">
        <v>96.341072439963298</v>
      </c>
      <c r="D22" s="1">
        <v>22</v>
      </c>
      <c r="E22" s="1">
        <v>320</v>
      </c>
      <c r="F22" s="5">
        <v>8128.0276968511898</v>
      </c>
      <c r="G22" t="s">
        <v>38</v>
      </c>
      <c r="H22">
        <v>27</v>
      </c>
      <c r="I22" s="1">
        <v>12</v>
      </c>
      <c r="J22">
        <v>68</v>
      </c>
      <c r="K22">
        <v>6</v>
      </c>
      <c r="L22" s="3" t="s">
        <v>36</v>
      </c>
      <c r="M22" s="2">
        <v>8.8783346509268402</v>
      </c>
      <c r="N22" t="s">
        <v>39</v>
      </c>
      <c r="O22" t="s">
        <v>62</v>
      </c>
      <c r="P22">
        <v>29</v>
      </c>
      <c r="Q22">
        <v>309</v>
      </c>
      <c r="R22">
        <v>6</v>
      </c>
      <c r="S22">
        <v>65.686259608488598</v>
      </c>
      <c r="T22" t="s">
        <v>64</v>
      </c>
      <c r="U22" s="4">
        <v>4.2314165735345304</v>
      </c>
      <c r="V22" t="s">
        <v>40</v>
      </c>
      <c r="W22" t="s">
        <v>32</v>
      </c>
      <c r="X22">
        <v>493.871215316205</v>
      </c>
      <c r="Y22" s="2">
        <f>Table1[[#This Row],[Revenue generated]]-Table1[[#This Row],[Manufacturing costs]]-Table1[[#This Row],[Shipping costs]]</f>
        <v>8053.4631025917743</v>
      </c>
      <c r="Z22" s="4">
        <f t="shared" si="0"/>
        <v>0.99082623767530931</v>
      </c>
    </row>
    <row r="23" spans="1:26" x14ac:dyDescent="0.3">
      <c r="A23" s="3" t="s">
        <v>57</v>
      </c>
      <c r="B23" s="3" t="s">
        <v>75</v>
      </c>
      <c r="C23" s="2">
        <v>84.893868984950799</v>
      </c>
      <c r="D23" s="1">
        <v>60</v>
      </c>
      <c r="E23" s="1">
        <v>601</v>
      </c>
      <c r="F23" s="5">
        <v>7087.0526963574302</v>
      </c>
      <c r="G23" t="s">
        <v>38</v>
      </c>
      <c r="H23">
        <v>69</v>
      </c>
      <c r="I23" s="1">
        <v>25</v>
      </c>
      <c r="J23">
        <v>7</v>
      </c>
      <c r="K23">
        <v>6</v>
      </c>
      <c r="L23" s="3" t="s">
        <v>27</v>
      </c>
      <c r="M23" s="2">
        <v>6.0378837692182898</v>
      </c>
      <c r="N23" t="s">
        <v>44</v>
      </c>
      <c r="O23" t="s">
        <v>62</v>
      </c>
      <c r="P23">
        <v>19</v>
      </c>
      <c r="Q23">
        <v>791</v>
      </c>
      <c r="R23">
        <v>4</v>
      </c>
      <c r="S23">
        <v>61.735728954160898</v>
      </c>
      <c r="T23" t="s">
        <v>30</v>
      </c>
      <c r="U23" s="4">
        <v>1.8607567631014899E-2</v>
      </c>
      <c r="V23" t="s">
        <v>40</v>
      </c>
      <c r="W23" t="s">
        <v>41</v>
      </c>
      <c r="X23">
        <v>523.36091472015801</v>
      </c>
      <c r="Y23" s="2">
        <f>Table1[[#This Row],[Revenue generated]]-Table1[[#This Row],[Manufacturing costs]]-Table1[[#This Row],[Shipping costs]]</f>
        <v>7019.2790836340519</v>
      </c>
      <c r="Z23" s="4">
        <f t="shared" si="0"/>
        <v>0.99043698196879326</v>
      </c>
    </row>
    <row r="24" spans="1:26" x14ac:dyDescent="0.3">
      <c r="A24" s="3" t="s">
        <v>24</v>
      </c>
      <c r="B24" s="3" t="s">
        <v>76</v>
      </c>
      <c r="C24" s="2">
        <v>27.679780886501899</v>
      </c>
      <c r="D24" s="1">
        <v>55</v>
      </c>
      <c r="E24" s="1">
        <v>884</v>
      </c>
      <c r="F24" s="5">
        <v>2390.8078665561702</v>
      </c>
      <c r="G24" t="s">
        <v>38</v>
      </c>
      <c r="H24">
        <v>71</v>
      </c>
      <c r="I24" s="1">
        <v>1</v>
      </c>
      <c r="J24">
        <v>63</v>
      </c>
      <c r="K24">
        <v>10</v>
      </c>
      <c r="L24" s="3" t="s">
        <v>36</v>
      </c>
      <c r="M24" s="2">
        <v>9.5676489209230393</v>
      </c>
      <c r="N24" t="s">
        <v>52</v>
      </c>
      <c r="O24" t="s">
        <v>45</v>
      </c>
      <c r="P24">
        <v>22</v>
      </c>
      <c r="Q24">
        <v>780</v>
      </c>
      <c r="R24">
        <v>28</v>
      </c>
      <c r="S24">
        <v>50.120839612977299</v>
      </c>
      <c r="T24" t="s">
        <v>46</v>
      </c>
      <c r="U24" s="4">
        <v>2.5912754732111098</v>
      </c>
      <c r="V24" t="s">
        <v>47</v>
      </c>
      <c r="W24" t="s">
        <v>41</v>
      </c>
      <c r="X24">
        <v>205.57199582694699</v>
      </c>
      <c r="Y24" s="2">
        <f>Table1[[#This Row],[Revenue generated]]-Table1[[#This Row],[Manufacturing costs]]-Table1[[#This Row],[Shipping costs]]</f>
        <v>2331.1193780222698</v>
      </c>
      <c r="Z24" s="4">
        <f t="shared" si="0"/>
        <v>0.97503417594995678</v>
      </c>
    </row>
    <row r="25" spans="1:26" x14ac:dyDescent="0.3">
      <c r="A25" s="3" t="s">
        <v>57</v>
      </c>
      <c r="B25" s="3" t="s">
        <v>77</v>
      </c>
      <c r="C25" s="2">
        <v>4.3243411858641601</v>
      </c>
      <c r="D25" s="1">
        <v>30</v>
      </c>
      <c r="E25" s="1">
        <v>391</v>
      </c>
      <c r="F25" s="5">
        <v>8858.3675710114803</v>
      </c>
      <c r="G25" t="s">
        <v>38</v>
      </c>
      <c r="H25">
        <v>84</v>
      </c>
      <c r="I25" s="1">
        <v>5</v>
      </c>
      <c r="J25">
        <v>29</v>
      </c>
      <c r="K25">
        <v>7</v>
      </c>
      <c r="L25" s="3" t="s">
        <v>36</v>
      </c>
      <c r="M25" s="2">
        <v>2.92485760114555</v>
      </c>
      <c r="N25" t="s">
        <v>44</v>
      </c>
      <c r="O25" t="s">
        <v>45</v>
      </c>
      <c r="P25">
        <v>11</v>
      </c>
      <c r="Q25">
        <v>568</v>
      </c>
      <c r="R25">
        <v>29</v>
      </c>
      <c r="S25">
        <v>98.6099572427038</v>
      </c>
      <c r="T25" t="s">
        <v>30</v>
      </c>
      <c r="U25" s="4">
        <v>1.3422915627227301</v>
      </c>
      <c r="V25" t="s">
        <v>47</v>
      </c>
      <c r="W25" t="s">
        <v>48</v>
      </c>
      <c r="X25">
        <v>196.329446112412</v>
      </c>
      <c r="Y25" s="2">
        <f>Table1[[#This Row],[Revenue generated]]-Table1[[#This Row],[Manufacturing costs]]-Table1[[#This Row],[Shipping costs]]</f>
        <v>8756.8327561676306</v>
      </c>
      <c r="Z25" s="4">
        <f t="shared" si="0"/>
        <v>0.98853797677394684</v>
      </c>
    </row>
    <row r="26" spans="1:26" x14ac:dyDescent="0.3">
      <c r="A26" s="3" t="s">
        <v>24</v>
      </c>
      <c r="B26" s="3" t="s">
        <v>78</v>
      </c>
      <c r="C26" s="2">
        <v>4.1563083593111001</v>
      </c>
      <c r="D26" s="1">
        <v>32</v>
      </c>
      <c r="E26" s="1">
        <v>209</v>
      </c>
      <c r="F26" s="5">
        <v>9049.0778609398894</v>
      </c>
      <c r="G26" t="s">
        <v>55</v>
      </c>
      <c r="H26">
        <v>4</v>
      </c>
      <c r="I26" s="1">
        <v>26</v>
      </c>
      <c r="J26">
        <v>2</v>
      </c>
      <c r="K26">
        <v>8</v>
      </c>
      <c r="L26" s="3" t="s">
        <v>43</v>
      </c>
      <c r="M26" s="2">
        <v>9.7412916892843597</v>
      </c>
      <c r="N26" t="s">
        <v>61</v>
      </c>
      <c r="O26" t="s">
        <v>53</v>
      </c>
      <c r="P26">
        <v>28</v>
      </c>
      <c r="Q26">
        <v>447</v>
      </c>
      <c r="R26">
        <v>3</v>
      </c>
      <c r="S26">
        <v>40.382359702924802</v>
      </c>
      <c r="T26" t="s">
        <v>30</v>
      </c>
      <c r="U26" s="4">
        <v>3.69131029262872</v>
      </c>
      <c r="V26" t="s">
        <v>40</v>
      </c>
      <c r="W26" t="s">
        <v>48</v>
      </c>
      <c r="X26">
        <v>758.72477260293795</v>
      </c>
      <c r="Y26" s="2">
        <f>Table1[[#This Row],[Revenue generated]]-Table1[[#This Row],[Manufacturing costs]]-Table1[[#This Row],[Shipping costs]]</f>
        <v>8998.9542095476809</v>
      </c>
      <c r="Z26" s="4">
        <f t="shared" si="0"/>
        <v>0.99446091058531327</v>
      </c>
    </row>
    <row r="27" spans="1:26" x14ac:dyDescent="0.3">
      <c r="A27" s="3" t="s">
        <v>24</v>
      </c>
      <c r="B27" s="3" t="s">
        <v>79</v>
      </c>
      <c r="C27" s="2">
        <v>39.629343985092603</v>
      </c>
      <c r="D27" s="1">
        <v>73</v>
      </c>
      <c r="E27" s="1">
        <v>142</v>
      </c>
      <c r="F27" s="5">
        <v>2174.7770543506499</v>
      </c>
      <c r="G27" t="s">
        <v>55</v>
      </c>
      <c r="H27">
        <v>82</v>
      </c>
      <c r="I27" s="1">
        <v>11</v>
      </c>
      <c r="J27">
        <v>52</v>
      </c>
      <c r="K27">
        <v>3</v>
      </c>
      <c r="L27" s="3" t="s">
        <v>43</v>
      </c>
      <c r="M27" s="2">
        <v>2.2310736812817198</v>
      </c>
      <c r="N27" t="s">
        <v>52</v>
      </c>
      <c r="O27" t="s">
        <v>45</v>
      </c>
      <c r="P27">
        <v>19</v>
      </c>
      <c r="Q27">
        <v>934</v>
      </c>
      <c r="R27">
        <v>23</v>
      </c>
      <c r="S27">
        <v>78.280383118415301</v>
      </c>
      <c r="T27" t="s">
        <v>30</v>
      </c>
      <c r="U27" s="4">
        <v>3.79723121711418</v>
      </c>
      <c r="V27" t="s">
        <v>31</v>
      </c>
      <c r="W27" t="s">
        <v>32</v>
      </c>
      <c r="X27">
        <v>458.53594573920901</v>
      </c>
      <c r="Y27" s="2">
        <f>Table1[[#This Row],[Revenue generated]]-Table1[[#This Row],[Manufacturing costs]]-Table1[[#This Row],[Shipping costs]]</f>
        <v>2094.2655975509529</v>
      </c>
      <c r="Z27" s="4">
        <f t="shared" si="0"/>
        <v>0.96297944350726272</v>
      </c>
    </row>
    <row r="28" spans="1:26" x14ac:dyDescent="0.3">
      <c r="A28" s="3" t="s">
        <v>24</v>
      </c>
      <c r="B28" s="3" t="s">
        <v>80</v>
      </c>
      <c r="C28" s="2">
        <v>97.446946617892806</v>
      </c>
      <c r="D28" s="1">
        <v>9</v>
      </c>
      <c r="E28" s="1">
        <v>353</v>
      </c>
      <c r="F28" s="5">
        <v>3716.49332589403</v>
      </c>
      <c r="G28" t="s">
        <v>55</v>
      </c>
      <c r="H28">
        <v>59</v>
      </c>
      <c r="I28" s="1">
        <v>16</v>
      </c>
      <c r="J28">
        <v>48</v>
      </c>
      <c r="K28">
        <v>4</v>
      </c>
      <c r="L28" s="3" t="s">
        <v>27</v>
      </c>
      <c r="M28" s="2">
        <v>6.5075486210785503</v>
      </c>
      <c r="N28" t="s">
        <v>61</v>
      </c>
      <c r="O28" t="s">
        <v>53</v>
      </c>
      <c r="P28">
        <v>26</v>
      </c>
      <c r="Q28">
        <v>171</v>
      </c>
      <c r="R28">
        <v>4</v>
      </c>
      <c r="S28">
        <v>15.972229757181699</v>
      </c>
      <c r="T28" t="s">
        <v>64</v>
      </c>
      <c r="U28" s="4">
        <v>2.1193197367249201</v>
      </c>
      <c r="V28" t="s">
        <v>47</v>
      </c>
      <c r="W28" t="s">
        <v>48</v>
      </c>
      <c r="X28">
        <v>617.86691645837698</v>
      </c>
      <c r="Y28" s="2">
        <f>Table1[[#This Row],[Revenue generated]]-Table1[[#This Row],[Manufacturing costs]]-Table1[[#This Row],[Shipping costs]]</f>
        <v>3694.0135475157699</v>
      </c>
      <c r="Z28" s="4">
        <f t="shared" si="0"/>
        <v>0.99395134703414212</v>
      </c>
    </row>
    <row r="29" spans="1:26" x14ac:dyDescent="0.3">
      <c r="A29" s="3" t="s">
        <v>57</v>
      </c>
      <c r="B29" s="3" t="s">
        <v>81</v>
      </c>
      <c r="C29" s="2">
        <v>92.557360812401996</v>
      </c>
      <c r="D29" s="1">
        <v>42</v>
      </c>
      <c r="E29" s="1">
        <v>352</v>
      </c>
      <c r="F29" s="5">
        <v>2686.4572235759802</v>
      </c>
      <c r="G29" t="s">
        <v>38</v>
      </c>
      <c r="H29">
        <v>47</v>
      </c>
      <c r="I29" s="1">
        <v>9</v>
      </c>
      <c r="J29">
        <v>62</v>
      </c>
      <c r="K29">
        <v>8</v>
      </c>
      <c r="L29" s="3" t="s">
        <v>43</v>
      </c>
      <c r="M29" s="2">
        <v>7.4067509529980704</v>
      </c>
      <c r="N29" t="s">
        <v>44</v>
      </c>
      <c r="O29" t="s">
        <v>29</v>
      </c>
      <c r="P29">
        <v>25</v>
      </c>
      <c r="Q29">
        <v>291</v>
      </c>
      <c r="R29">
        <v>4</v>
      </c>
      <c r="S29">
        <v>10.5282450700421</v>
      </c>
      <c r="T29" t="s">
        <v>46</v>
      </c>
      <c r="U29" s="4">
        <v>2.8646678378833701</v>
      </c>
      <c r="V29" t="s">
        <v>56</v>
      </c>
      <c r="W29" t="s">
        <v>32</v>
      </c>
      <c r="X29">
        <v>762.45918215568304</v>
      </c>
      <c r="Y29" s="2">
        <f>Table1[[#This Row],[Revenue generated]]-Table1[[#This Row],[Manufacturing costs]]-Table1[[#This Row],[Shipping costs]]</f>
        <v>2668.52222755294</v>
      </c>
      <c r="Z29" s="4">
        <f t="shared" si="0"/>
        <v>0.99332392272408243</v>
      </c>
    </row>
    <row r="30" spans="1:26" x14ac:dyDescent="0.3">
      <c r="A30" s="3" t="s">
        <v>57</v>
      </c>
      <c r="B30" s="3" t="s">
        <v>82</v>
      </c>
      <c r="C30" s="2">
        <v>2.3972747055971402</v>
      </c>
      <c r="D30" s="1">
        <v>12</v>
      </c>
      <c r="E30" s="1">
        <v>394</v>
      </c>
      <c r="F30" s="5">
        <v>6117.3246150839896</v>
      </c>
      <c r="G30" t="s">
        <v>35</v>
      </c>
      <c r="H30">
        <v>48</v>
      </c>
      <c r="I30" s="1">
        <v>15</v>
      </c>
      <c r="J30">
        <v>24</v>
      </c>
      <c r="K30">
        <v>4</v>
      </c>
      <c r="L30" s="3" t="s">
        <v>27</v>
      </c>
      <c r="M30" s="2">
        <v>9.8981405080692202</v>
      </c>
      <c r="N30" t="s">
        <v>39</v>
      </c>
      <c r="O30" t="s">
        <v>29</v>
      </c>
      <c r="P30">
        <v>13</v>
      </c>
      <c r="Q30">
        <v>171</v>
      </c>
      <c r="R30">
        <v>7</v>
      </c>
      <c r="S30">
        <v>59.429381810691503</v>
      </c>
      <c r="T30" t="s">
        <v>46</v>
      </c>
      <c r="U30" s="4">
        <v>0.81575707929567198</v>
      </c>
      <c r="V30" t="s">
        <v>40</v>
      </c>
      <c r="W30" t="s">
        <v>48</v>
      </c>
      <c r="X30">
        <v>123.437027511827</v>
      </c>
      <c r="Y30" s="2">
        <f>Table1[[#This Row],[Revenue generated]]-Table1[[#This Row],[Manufacturing costs]]-Table1[[#This Row],[Shipping costs]]</f>
        <v>6047.9970927652284</v>
      </c>
      <c r="Z30" s="4">
        <f t="shared" si="0"/>
        <v>0.9886670192149335</v>
      </c>
    </row>
    <row r="31" spans="1:26" x14ac:dyDescent="0.3">
      <c r="A31" s="3" t="s">
        <v>57</v>
      </c>
      <c r="B31" s="3" t="s">
        <v>83</v>
      </c>
      <c r="C31" s="2">
        <v>63.447559185207297</v>
      </c>
      <c r="D31" s="1">
        <v>3</v>
      </c>
      <c r="E31" s="1">
        <v>253</v>
      </c>
      <c r="F31" s="5">
        <v>8318.9031946171708</v>
      </c>
      <c r="G31" t="s">
        <v>35</v>
      </c>
      <c r="H31">
        <v>45</v>
      </c>
      <c r="I31" s="1">
        <v>5</v>
      </c>
      <c r="J31">
        <v>67</v>
      </c>
      <c r="K31">
        <v>7</v>
      </c>
      <c r="L31" s="3" t="s">
        <v>27</v>
      </c>
      <c r="M31" s="2">
        <v>8.1009731453970293</v>
      </c>
      <c r="N31" t="s">
        <v>39</v>
      </c>
      <c r="O31" t="s">
        <v>45</v>
      </c>
      <c r="P31">
        <v>16</v>
      </c>
      <c r="Q31">
        <v>329</v>
      </c>
      <c r="R31">
        <v>7</v>
      </c>
      <c r="S31">
        <v>39.292875586065698</v>
      </c>
      <c r="T31" t="s">
        <v>64</v>
      </c>
      <c r="U31" s="4">
        <v>3.8780989365884802</v>
      </c>
      <c r="V31" t="s">
        <v>31</v>
      </c>
      <c r="W31" t="s">
        <v>32</v>
      </c>
      <c r="X31">
        <v>764.93537594070801</v>
      </c>
      <c r="Y31" s="2">
        <f>Table1[[#This Row],[Revenue generated]]-Table1[[#This Row],[Manufacturing costs]]-Table1[[#This Row],[Shipping costs]]</f>
        <v>8271.5093458857082</v>
      </c>
      <c r="Z31" s="4">
        <f t="shared" si="0"/>
        <v>0.99430287291212505</v>
      </c>
    </row>
    <row r="32" spans="1:26" x14ac:dyDescent="0.3">
      <c r="A32" s="3" t="s">
        <v>24</v>
      </c>
      <c r="B32" s="3" t="s">
        <v>84</v>
      </c>
      <c r="C32" s="2">
        <v>8.0228592105263896</v>
      </c>
      <c r="D32" s="1">
        <v>10</v>
      </c>
      <c r="E32" s="1">
        <v>327</v>
      </c>
      <c r="F32" s="5">
        <v>2766.3423668660798</v>
      </c>
      <c r="G32" t="s">
        <v>55</v>
      </c>
      <c r="H32">
        <v>60</v>
      </c>
      <c r="I32" s="1">
        <v>26</v>
      </c>
      <c r="J32">
        <v>35</v>
      </c>
      <c r="K32">
        <v>7</v>
      </c>
      <c r="L32" s="3" t="s">
        <v>27</v>
      </c>
      <c r="M32" s="2">
        <v>8.9545283153180097</v>
      </c>
      <c r="N32" t="s">
        <v>52</v>
      </c>
      <c r="O32" t="s">
        <v>45</v>
      </c>
      <c r="P32">
        <v>27</v>
      </c>
      <c r="Q32">
        <v>806</v>
      </c>
      <c r="R32">
        <v>30</v>
      </c>
      <c r="S32">
        <v>51.634893400109299</v>
      </c>
      <c r="T32" t="s">
        <v>30</v>
      </c>
      <c r="U32" s="4">
        <v>0.96539470535239302</v>
      </c>
      <c r="V32" t="s">
        <v>31</v>
      </c>
      <c r="W32" t="s">
        <v>41</v>
      </c>
      <c r="X32">
        <v>880.08098824716103</v>
      </c>
      <c r="Y32" s="2">
        <f>Table1[[#This Row],[Revenue generated]]-Table1[[#This Row],[Manufacturing costs]]-Table1[[#This Row],[Shipping costs]]</f>
        <v>2705.7529451506525</v>
      </c>
      <c r="Z32" s="4">
        <f t="shared" si="0"/>
        <v>0.97809764169426816</v>
      </c>
    </row>
    <row r="33" spans="1:26" x14ac:dyDescent="0.3">
      <c r="A33" s="3" t="s">
        <v>33</v>
      </c>
      <c r="B33" s="3" t="s">
        <v>85</v>
      </c>
      <c r="C33" s="2">
        <v>50.847393051718697</v>
      </c>
      <c r="D33" s="1">
        <v>28</v>
      </c>
      <c r="E33" s="1">
        <v>168</v>
      </c>
      <c r="F33" s="5">
        <v>9655.1351027193905</v>
      </c>
      <c r="G33" t="s">
        <v>55</v>
      </c>
      <c r="H33">
        <v>6</v>
      </c>
      <c r="I33" s="1">
        <v>17</v>
      </c>
      <c r="J33">
        <v>44</v>
      </c>
      <c r="K33">
        <v>4</v>
      </c>
      <c r="L33" s="3" t="s">
        <v>27</v>
      </c>
      <c r="M33" s="2">
        <v>2.6796609649813998</v>
      </c>
      <c r="N33" t="s">
        <v>28</v>
      </c>
      <c r="O33" t="s">
        <v>62</v>
      </c>
      <c r="P33">
        <v>24</v>
      </c>
      <c r="Q33">
        <v>461</v>
      </c>
      <c r="R33">
        <v>8</v>
      </c>
      <c r="S33">
        <v>60.251145661598002</v>
      </c>
      <c r="T33" t="s">
        <v>30</v>
      </c>
      <c r="U33" s="4">
        <v>2.9890000066550702</v>
      </c>
      <c r="V33" t="s">
        <v>47</v>
      </c>
      <c r="W33" t="s">
        <v>41</v>
      </c>
      <c r="X33">
        <v>609.379206618426</v>
      </c>
      <c r="Y33" s="2">
        <f>Table1[[#This Row],[Revenue generated]]-Table1[[#This Row],[Manufacturing costs]]-Table1[[#This Row],[Shipping costs]]</f>
        <v>9592.204296092812</v>
      </c>
      <c r="Z33" s="4">
        <f t="shared" si="0"/>
        <v>0.99348214126917256</v>
      </c>
    </row>
    <row r="34" spans="1:26" x14ac:dyDescent="0.3">
      <c r="A34" s="3" t="s">
        <v>33</v>
      </c>
      <c r="B34" s="3" t="s">
        <v>86</v>
      </c>
      <c r="C34" s="2">
        <v>79.209936015656695</v>
      </c>
      <c r="D34" s="1">
        <v>43</v>
      </c>
      <c r="E34" s="1">
        <v>781</v>
      </c>
      <c r="F34" s="5">
        <v>9571.5504873278096</v>
      </c>
      <c r="G34" t="s">
        <v>38</v>
      </c>
      <c r="H34">
        <v>89</v>
      </c>
      <c r="I34" s="1">
        <v>13</v>
      </c>
      <c r="J34">
        <v>64</v>
      </c>
      <c r="K34">
        <v>4</v>
      </c>
      <c r="L34" s="3" t="s">
        <v>43</v>
      </c>
      <c r="M34" s="2">
        <v>6.5991049012385803</v>
      </c>
      <c r="N34" t="s">
        <v>28</v>
      </c>
      <c r="O34" t="s">
        <v>45</v>
      </c>
      <c r="P34">
        <v>30</v>
      </c>
      <c r="Q34">
        <v>737</v>
      </c>
      <c r="R34">
        <v>7</v>
      </c>
      <c r="S34">
        <v>29.6924671537497</v>
      </c>
      <c r="T34" t="s">
        <v>64</v>
      </c>
      <c r="U34" s="4">
        <v>1.94603611938611</v>
      </c>
      <c r="V34" t="s">
        <v>31</v>
      </c>
      <c r="W34" t="s">
        <v>48</v>
      </c>
      <c r="X34">
        <v>761.17390951487698</v>
      </c>
      <c r="Y34" s="2">
        <f>Table1[[#This Row],[Revenue generated]]-Table1[[#This Row],[Manufacturing costs]]-Table1[[#This Row],[Shipping costs]]</f>
        <v>9535.2589152728215</v>
      </c>
      <c r="Z34" s="4">
        <f t="shared" ref="Z34:Z65" si="1">(Y34/F34)</f>
        <v>0.99620839151368046</v>
      </c>
    </row>
    <row r="35" spans="1:26" x14ac:dyDescent="0.3">
      <c r="A35" s="3" t="s">
        <v>57</v>
      </c>
      <c r="B35" s="3" t="s">
        <v>87</v>
      </c>
      <c r="C35" s="2">
        <v>64.795435000155607</v>
      </c>
      <c r="D35" s="1">
        <v>63</v>
      </c>
      <c r="E35" s="1">
        <v>616</v>
      </c>
      <c r="F35" s="5">
        <v>5149.9983504080301</v>
      </c>
      <c r="G35" t="s">
        <v>26</v>
      </c>
      <c r="H35">
        <v>4</v>
      </c>
      <c r="I35" s="1">
        <v>17</v>
      </c>
      <c r="J35">
        <v>95</v>
      </c>
      <c r="K35">
        <v>9</v>
      </c>
      <c r="L35" s="3" t="s">
        <v>43</v>
      </c>
      <c r="M35" s="2">
        <v>4.85827050343664</v>
      </c>
      <c r="N35" t="s">
        <v>44</v>
      </c>
      <c r="O35" t="s">
        <v>62</v>
      </c>
      <c r="P35">
        <v>1</v>
      </c>
      <c r="Q35">
        <v>251</v>
      </c>
      <c r="R35">
        <v>23</v>
      </c>
      <c r="S35">
        <v>23.853427512896101</v>
      </c>
      <c r="T35" t="s">
        <v>46</v>
      </c>
      <c r="U35" s="4">
        <v>3.54104601225092</v>
      </c>
      <c r="V35" t="s">
        <v>56</v>
      </c>
      <c r="W35" t="s">
        <v>48</v>
      </c>
      <c r="X35">
        <v>371.25529551987103</v>
      </c>
      <c r="Y35" s="2">
        <f>Table1[[#This Row],[Revenue generated]]-Table1[[#This Row],[Manufacturing costs]]-Table1[[#This Row],[Shipping costs]]</f>
        <v>5121.2866523916973</v>
      </c>
      <c r="Z35" s="4">
        <f t="shared" si="1"/>
        <v>0.99442491122078558</v>
      </c>
    </row>
    <row r="36" spans="1:26" x14ac:dyDescent="0.3">
      <c r="A36" s="3" t="s">
        <v>33</v>
      </c>
      <c r="B36" s="3" t="s">
        <v>88</v>
      </c>
      <c r="C36" s="2">
        <v>37.467592329842397</v>
      </c>
      <c r="D36" s="1">
        <v>96</v>
      </c>
      <c r="E36" s="1">
        <v>602</v>
      </c>
      <c r="F36" s="5">
        <v>9061.7108955077201</v>
      </c>
      <c r="G36" t="s">
        <v>38</v>
      </c>
      <c r="H36">
        <v>1</v>
      </c>
      <c r="I36" s="1">
        <v>26</v>
      </c>
      <c r="J36">
        <v>21</v>
      </c>
      <c r="K36">
        <v>7</v>
      </c>
      <c r="L36" s="3" t="s">
        <v>36</v>
      </c>
      <c r="M36" s="2">
        <v>1.0194875708221101</v>
      </c>
      <c r="N36" t="s">
        <v>39</v>
      </c>
      <c r="O36" t="s">
        <v>62</v>
      </c>
      <c r="P36">
        <v>4</v>
      </c>
      <c r="Q36">
        <v>452</v>
      </c>
      <c r="R36">
        <v>10</v>
      </c>
      <c r="S36">
        <v>10.754272815029299</v>
      </c>
      <c r="T36" t="s">
        <v>64</v>
      </c>
      <c r="U36" s="4">
        <v>0.64660455937205397</v>
      </c>
      <c r="V36" t="s">
        <v>31</v>
      </c>
      <c r="W36" t="s">
        <v>32</v>
      </c>
      <c r="X36">
        <v>510.35800043352299</v>
      </c>
      <c r="Y36" s="2">
        <f>Table1[[#This Row],[Revenue generated]]-Table1[[#This Row],[Manufacturing costs]]-Table1[[#This Row],[Shipping costs]]</f>
        <v>9049.9371351218688</v>
      </c>
      <c r="Z36" s="4">
        <f t="shared" si="1"/>
        <v>0.99870071330661325</v>
      </c>
    </row>
    <row r="37" spans="1:26" x14ac:dyDescent="0.3">
      <c r="A37" s="3" t="s">
        <v>57</v>
      </c>
      <c r="B37" s="3" t="s">
        <v>89</v>
      </c>
      <c r="C37" s="2">
        <v>84.957786816350406</v>
      </c>
      <c r="D37" s="1">
        <v>11</v>
      </c>
      <c r="E37" s="1">
        <v>449</v>
      </c>
      <c r="F37" s="5">
        <v>6541.3293448024597</v>
      </c>
      <c r="G37" t="s">
        <v>35</v>
      </c>
      <c r="H37">
        <v>42</v>
      </c>
      <c r="I37" s="1">
        <v>27</v>
      </c>
      <c r="J37">
        <v>85</v>
      </c>
      <c r="K37">
        <v>8</v>
      </c>
      <c r="L37" s="3" t="s">
        <v>43</v>
      </c>
      <c r="M37" s="2">
        <v>5.2881899903273997</v>
      </c>
      <c r="N37" t="s">
        <v>39</v>
      </c>
      <c r="O37" t="s">
        <v>50</v>
      </c>
      <c r="P37">
        <v>3</v>
      </c>
      <c r="Q37">
        <v>367</v>
      </c>
      <c r="R37">
        <v>2</v>
      </c>
      <c r="S37">
        <v>58.004787044743701</v>
      </c>
      <c r="T37" t="s">
        <v>64</v>
      </c>
      <c r="U37" s="4">
        <v>0.54115409806058101</v>
      </c>
      <c r="V37" t="s">
        <v>56</v>
      </c>
      <c r="W37" t="s">
        <v>41</v>
      </c>
      <c r="X37">
        <v>553.42047123035502</v>
      </c>
      <c r="Y37" s="2">
        <f>Table1[[#This Row],[Revenue generated]]-Table1[[#This Row],[Manufacturing costs]]-Table1[[#This Row],[Shipping costs]]</f>
        <v>6478.0363677673886</v>
      </c>
      <c r="Z37" s="4">
        <f t="shared" si="1"/>
        <v>0.99032414151637815</v>
      </c>
    </row>
    <row r="38" spans="1:26" x14ac:dyDescent="0.3">
      <c r="A38" s="3" t="s">
        <v>33</v>
      </c>
      <c r="B38" s="3" t="s">
        <v>90</v>
      </c>
      <c r="C38" s="2">
        <v>9.81300257875405</v>
      </c>
      <c r="D38" s="1">
        <v>34</v>
      </c>
      <c r="E38" s="1">
        <v>963</v>
      </c>
      <c r="F38" s="5">
        <v>7573.4024578487297</v>
      </c>
      <c r="G38" t="s">
        <v>35</v>
      </c>
      <c r="H38">
        <v>18</v>
      </c>
      <c r="I38" s="1">
        <v>23</v>
      </c>
      <c r="J38">
        <v>28</v>
      </c>
      <c r="K38">
        <v>3</v>
      </c>
      <c r="L38" s="3" t="s">
        <v>27</v>
      </c>
      <c r="M38" s="2">
        <v>2.1079512671590801</v>
      </c>
      <c r="N38" t="s">
        <v>61</v>
      </c>
      <c r="O38" t="s">
        <v>50</v>
      </c>
      <c r="P38">
        <v>26</v>
      </c>
      <c r="Q38">
        <v>671</v>
      </c>
      <c r="R38">
        <v>19</v>
      </c>
      <c r="S38">
        <v>45.531364237162101</v>
      </c>
      <c r="T38" t="s">
        <v>46</v>
      </c>
      <c r="U38" s="4">
        <v>3.8055333792433501</v>
      </c>
      <c r="V38" t="s">
        <v>40</v>
      </c>
      <c r="W38" t="s">
        <v>41</v>
      </c>
      <c r="X38">
        <v>403.80897424817999</v>
      </c>
      <c r="Y38" s="2">
        <f>Table1[[#This Row],[Revenue generated]]-Table1[[#This Row],[Manufacturing costs]]-Table1[[#This Row],[Shipping costs]]</f>
        <v>7525.7631423444082</v>
      </c>
      <c r="Z38" s="4">
        <f t="shared" si="1"/>
        <v>0.99370965483883</v>
      </c>
    </row>
    <row r="39" spans="1:26" x14ac:dyDescent="0.3">
      <c r="A39" s="3" t="s">
        <v>33</v>
      </c>
      <c r="B39" s="3" t="s">
        <v>91</v>
      </c>
      <c r="C39" s="2">
        <v>23.3998447526143</v>
      </c>
      <c r="D39" s="1">
        <v>5</v>
      </c>
      <c r="E39" s="1">
        <v>963</v>
      </c>
      <c r="F39" s="5">
        <v>2438.3399304700201</v>
      </c>
      <c r="G39" t="s">
        <v>35</v>
      </c>
      <c r="H39">
        <v>25</v>
      </c>
      <c r="I39" s="1">
        <v>8</v>
      </c>
      <c r="J39">
        <v>21</v>
      </c>
      <c r="K39">
        <v>9</v>
      </c>
      <c r="L39" s="3" t="s">
        <v>36</v>
      </c>
      <c r="M39" s="2">
        <v>1.53265527359043</v>
      </c>
      <c r="N39" t="s">
        <v>28</v>
      </c>
      <c r="O39" t="s">
        <v>45</v>
      </c>
      <c r="P39">
        <v>24</v>
      </c>
      <c r="Q39">
        <v>867</v>
      </c>
      <c r="R39">
        <v>15</v>
      </c>
      <c r="S39">
        <v>34.343277465075303</v>
      </c>
      <c r="T39" t="s">
        <v>30</v>
      </c>
      <c r="U39" s="4">
        <v>2.61028808484811</v>
      </c>
      <c r="V39" t="s">
        <v>56</v>
      </c>
      <c r="W39" t="s">
        <v>48</v>
      </c>
      <c r="X39">
        <v>183.932968043594</v>
      </c>
      <c r="Y39" s="2">
        <f>Table1[[#This Row],[Revenue generated]]-Table1[[#This Row],[Manufacturing costs]]-Table1[[#This Row],[Shipping costs]]</f>
        <v>2402.4639977313541</v>
      </c>
      <c r="Z39" s="4">
        <f t="shared" si="1"/>
        <v>0.98528673861656746</v>
      </c>
    </row>
    <row r="40" spans="1:26" x14ac:dyDescent="0.3">
      <c r="A40" s="3" t="s">
        <v>57</v>
      </c>
      <c r="B40" s="3" t="s">
        <v>92</v>
      </c>
      <c r="C40" s="2">
        <v>52.075930682707799</v>
      </c>
      <c r="D40" s="1">
        <v>75</v>
      </c>
      <c r="E40" s="1">
        <v>705</v>
      </c>
      <c r="F40" s="5">
        <v>9692.3180402184298</v>
      </c>
      <c r="G40" t="s">
        <v>26</v>
      </c>
      <c r="H40">
        <v>69</v>
      </c>
      <c r="I40" s="1">
        <v>1</v>
      </c>
      <c r="J40">
        <v>88</v>
      </c>
      <c r="K40">
        <v>5</v>
      </c>
      <c r="L40" s="3" t="s">
        <v>27</v>
      </c>
      <c r="M40" s="2">
        <v>9.2359314372492207</v>
      </c>
      <c r="N40" t="s">
        <v>44</v>
      </c>
      <c r="O40" t="s">
        <v>29</v>
      </c>
      <c r="P40">
        <v>10</v>
      </c>
      <c r="Q40">
        <v>841</v>
      </c>
      <c r="R40">
        <v>12</v>
      </c>
      <c r="S40">
        <v>5.9306936455283097</v>
      </c>
      <c r="T40" t="s">
        <v>30</v>
      </c>
      <c r="U40" s="4">
        <v>0.613326899164507</v>
      </c>
      <c r="V40" t="s">
        <v>40</v>
      </c>
      <c r="W40" t="s">
        <v>32</v>
      </c>
      <c r="X40">
        <v>339.67286994860598</v>
      </c>
      <c r="Y40" s="2">
        <f>Table1[[#This Row],[Revenue generated]]-Table1[[#This Row],[Manufacturing costs]]-Table1[[#This Row],[Shipping costs]]</f>
        <v>9677.1514151356514</v>
      </c>
      <c r="Z40" s="4">
        <f t="shared" si="1"/>
        <v>0.99843519114624135</v>
      </c>
    </row>
    <row r="41" spans="1:26" x14ac:dyDescent="0.3">
      <c r="A41" s="3" t="s">
        <v>33</v>
      </c>
      <c r="B41" s="3" t="s">
        <v>93</v>
      </c>
      <c r="C41" s="2">
        <v>19.127477265823199</v>
      </c>
      <c r="D41" s="1">
        <v>26</v>
      </c>
      <c r="E41" s="1">
        <v>176</v>
      </c>
      <c r="F41" s="5">
        <v>1912.4656631007599</v>
      </c>
      <c r="G41" t="s">
        <v>35</v>
      </c>
      <c r="H41">
        <v>78</v>
      </c>
      <c r="I41" s="1">
        <v>29</v>
      </c>
      <c r="J41">
        <v>34</v>
      </c>
      <c r="K41">
        <v>3</v>
      </c>
      <c r="L41" s="3" t="s">
        <v>36</v>
      </c>
      <c r="M41" s="2">
        <v>5.5625037788303802</v>
      </c>
      <c r="N41" t="s">
        <v>61</v>
      </c>
      <c r="O41" t="s">
        <v>45</v>
      </c>
      <c r="P41">
        <v>30</v>
      </c>
      <c r="Q41">
        <v>791</v>
      </c>
      <c r="R41">
        <v>6</v>
      </c>
      <c r="S41">
        <v>9.0058074287816403</v>
      </c>
      <c r="T41" t="s">
        <v>46</v>
      </c>
      <c r="U41" s="4">
        <v>1.4519722039968099</v>
      </c>
      <c r="V41" t="s">
        <v>40</v>
      </c>
      <c r="W41" t="s">
        <v>32</v>
      </c>
      <c r="X41">
        <v>653.67299455203295</v>
      </c>
      <c r="Y41" s="2">
        <f>Table1[[#This Row],[Revenue generated]]-Table1[[#This Row],[Manufacturing costs]]-Table1[[#This Row],[Shipping costs]]</f>
        <v>1897.8973518931477</v>
      </c>
      <c r="Z41" s="4">
        <f t="shared" si="1"/>
        <v>0.99238244561003419</v>
      </c>
    </row>
    <row r="42" spans="1:26" x14ac:dyDescent="0.3">
      <c r="A42" s="3" t="s">
        <v>33</v>
      </c>
      <c r="B42" s="3" t="s">
        <v>94</v>
      </c>
      <c r="C42" s="2">
        <v>80.541424170940303</v>
      </c>
      <c r="D42" s="1">
        <v>97</v>
      </c>
      <c r="E42" s="1">
        <v>933</v>
      </c>
      <c r="F42" s="5">
        <v>5724.9593504562599</v>
      </c>
      <c r="G42" t="s">
        <v>35</v>
      </c>
      <c r="H42">
        <v>90</v>
      </c>
      <c r="I42" s="1">
        <v>20</v>
      </c>
      <c r="J42">
        <v>39</v>
      </c>
      <c r="K42">
        <v>8</v>
      </c>
      <c r="L42" s="3" t="s">
        <v>43</v>
      </c>
      <c r="M42" s="2">
        <v>7.2295951397364702</v>
      </c>
      <c r="N42" t="s">
        <v>39</v>
      </c>
      <c r="O42" t="s">
        <v>45</v>
      </c>
      <c r="P42">
        <v>18</v>
      </c>
      <c r="Q42">
        <v>793</v>
      </c>
      <c r="R42">
        <v>1</v>
      </c>
      <c r="S42">
        <v>88.179407104217404</v>
      </c>
      <c r="T42" t="s">
        <v>30</v>
      </c>
      <c r="U42" s="4">
        <v>4.2132694305865597</v>
      </c>
      <c r="V42" t="s">
        <v>31</v>
      </c>
      <c r="W42" t="s">
        <v>48</v>
      </c>
      <c r="X42">
        <v>529.80872398069096</v>
      </c>
      <c r="Y42" s="2">
        <f>Table1[[#This Row],[Revenue generated]]-Table1[[#This Row],[Manufacturing costs]]-Table1[[#This Row],[Shipping costs]]</f>
        <v>5629.5503482123058</v>
      </c>
      <c r="Z42" s="4">
        <f t="shared" si="1"/>
        <v>0.98333455376650836</v>
      </c>
    </row>
    <row r="43" spans="1:26" x14ac:dyDescent="0.3">
      <c r="A43" s="3" t="s">
        <v>33</v>
      </c>
      <c r="B43" s="3" t="s">
        <v>95</v>
      </c>
      <c r="C43" s="2">
        <v>99.113291615317095</v>
      </c>
      <c r="D43" s="1">
        <v>35</v>
      </c>
      <c r="E43" s="1">
        <v>556</v>
      </c>
      <c r="F43" s="5">
        <v>5521.2052590109697</v>
      </c>
      <c r="G43" t="s">
        <v>35</v>
      </c>
      <c r="H43">
        <v>64</v>
      </c>
      <c r="I43" s="1">
        <v>19</v>
      </c>
      <c r="J43">
        <v>38</v>
      </c>
      <c r="K43">
        <v>8</v>
      </c>
      <c r="L43" s="3" t="s">
        <v>27</v>
      </c>
      <c r="M43" s="2">
        <v>5.7732637437666501</v>
      </c>
      <c r="N43" t="s">
        <v>52</v>
      </c>
      <c r="O43" t="s">
        <v>62</v>
      </c>
      <c r="P43">
        <v>18</v>
      </c>
      <c r="Q43">
        <v>892</v>
      </c>
      <c r="R43">
        <v>7</v>
      </c>
      <c r="S43">
        <v>95.332064548772493</v>
      </c>
      <c r="T43" t="s">
        <v>46</v>
      </c>
      <c r="U43" s="4">
        <v>4.5302262398259602E-2</v>
      </c>
      <c r="V43" t="s">
        <v>56</v>
      </c>
      <c r="W43" t="s">
        <v>48</v>
      </c>
      <c r="X43">
        <v>275.52437113130901</v>
      </c>
      <c r="Y43" s="2">
        <f>Table1[[#This Row],[Revenue generated]]-Table1[[#This Row],[Manufacturing costs]]-Table1[[#This Row],[Shipping costs]]</f>
        <v>5420.0999307184302</v>
      </c>
      <c r="Z43" s="4">
        <f t="shared" si="1"/>
        <v>0.98168781569431263</v>
      </c>
    </row>
    <row r="44" spans="1:26" x14ac:dyDescent="0.3">
      <c r="A44" s="3" t="s">
        <v>33</v>
      </c>
      <c r="B44" s="3" t="s">
        <v>96</v>
      </c>
      <c r="C44" s="2">
        <v>46.529167614516702</v>
      </c>
      <c r="D44" s="1">
        <v>98</v>
      </c>
      <c r="E44" s="1">
        <v>155</v>
      </c>
      <c r="F44" s="5">
        <v>1839.60942585676</v>
      </c>
      <c r="G44" t="s">
        <v>35</v>
      </c>
      <c r="H44">
        <v>22</v>
      </c>
      <c r="I44" s="1">
        <v>27</v>
      </c>
      <c r="J44">
        <v>57</v>
      </c>
      <c r="K44">
        <v>4</v>
      </c>
      <c r="L44" s="3" t="s">
        <v>43</v>
      </c>
      <c r="M44" s="2">
        <v>7.5262483268515004</v>
      </c>
      <c r="N44" t="s">
        <v>44</v>
      </c>
      <c r="O44" t="s">
        <v>53</v>
      </c>
      <c r="P44">
        <v>26</v>
      </c>
      <c r="Q44">
        <v>179</v>
      </c>
      <c r="R44">
        <v>7</v>
      </c>
      <c r="S44">
        <v>96.422820639571796</v>
      </c>
      <c r="T44" t="s">
        <v>46</v>
      </c>
      <c r="U44" s="4">
        <v>4.9392552886209398</v>
      </c>
      <c r="V44" t="s">
        <v>31</v>
      </c>
      <c r="W44" t="s">
        <v>48</v>
      </c>
      <c r="X44">
        <v>635.65712050199102</v>
      </c>
      <c r="Y44" s="2">
        <f>Table1[[#This Row],[Revenue generated]]-Table1[[#This Row],[Manufacturing costs]]-Table1[[#This Row],[Shipping costs]]</f>
        <v>1735.6603568903365</v>
      </c>
      <c r="Z44" s="4">
        <f t="shared" si="1"/>
        <v>0.94349394632069172</v>
      </c>
    </row>
    <row r="45" spans="1:26" x14ac:dyDescent="0.3">
      <c r="A45" s="3" t="s">
        <v>24</v>
      </c>
      <c r="B45" s="3" t="s">
        <v>97</v>
      </c>
      <c r="C45" s="2">
        <v>11.7432717763092</v>
      </c>
      <c r="D45" s="1">
        <v>6</v>
      </c>
      <c r="E45" s="1">
        <v>598</v>
      </c>
      <c r="F45" s="5">
        <v>5737.4255991190203</v>
      </c>
      <c r="G45" t="s">
        <v>38</v>
      </c>
      <c r="H45">
        <v>36</v>
      </c>
      <c r="I45" s="1">
        <v>29</v>
      </c>
      <c r="J45">
        <v>85</v>
      </c>
      <c r="K45">
        <v>9</v>
      </c>
      <c r="L45" s="3" t="s">
        <v>27</v>
      </c>
      <c r="M45" s="2">
        <v>3.6940212683884499</v>
      </c>
      <c r="N45" t="s">
        <v>44</v>
      </c>
      <c r="O45" t="s">
        <v>29</v>
      </c>
      <c r="P45">
        <v>1</v>
      </c>
      <c r="Q45">
        <v>206</v>
      </c>
      <c r="R45">
        <v>23</v>
      </c>
      <c r="S45">
        <v>26.2773659573324</v>
      </c>
      <c r="T45" t="s">
        <v>30</v>
      </c>
      <c r="U45" s="4">
        <v>0.37230476798509698</v>
      </c>
      <c r="V45" t="s">
        <v>40</v>
      </c>
      <c r="W45" t="s">
        <v>48</v>
      </c>
      <c r="X45">
        <v>716.04411975933999</v>
      </c>
      <c r="Y45" s="2">
        <f>Table1[[#This Row],[Revenue generated]]-Table1[[#This Row],[Manufacturing costs]]-Table1[[#This Row],[Shipping costs]]</f>
        <v>5707.4542118932995</v>
      </c>
      <c r="Z45" s="4">
        <f t="shared" si="1"/>
        <v>0.99477616106597999</v>
      </c>
    </row>
    <row r="46" spans="1:26" x14ac:dyDescent="0.3">
      <c r="A46" s="3" t="s">
        <v>57</v>
      </c>
      <c r="B46" s="3" t="s">
        <v>98</v>
      </c>
      <c r="C46" s="2">
        <v>51.355790913110297</v>
      </c>
      <c r="D46" s="1">
        <v>34</v>
      </c>
      <c r="E46" s="1">
        <v>919</v>
      </c>
      <c r="F46" s="5">
        <v>7152.28604943551</v>
      </c>
      <c r="G46" t="s">
        <v>35</v>
      </c>
      <c r="H46">
        <v>13</v>
      </c>
      <c r="I46" s="1">
        <v>19</v>
      </c>
      <c r="J46">
        <v>72</v>
      </c>
      <c r="K46">
        <v>6</v>
      </c>
      <c r="L46" s="3" t="s">
        <v>43</v>
      </c>
      <c r="M46" s="2">
        <v>7.5774496573766896</v>
      </c>
      <c r="N46" t="s">
        <v>61</v>
      </c>
      <c r="O46" t="s">
        <v>50</v>
      </c>
      <c r="P46">
        <v>7</v>
      </c>
      <c r="Q46">
        <v>834</v>
      </c>
      <c r="R46">
        <v>18</v>
      </c>
      <c r="S46">
        <v>22.554106620887701</v>
      </c>
      <c r="T46" t="s">
        <v>46</v>
      </c>
      <c r="U46" s="4">
        <v>2.9626263204548802</v>
      </c>
      <c r="V46" t="s">
        <v>47</v>
      </c>
      <c r="W46" t="s">
        <v>48</v>
      </c>
      <c r="X46">
        <v>610.45326961922694</v>
      </c>
      <c r="Y46" s="2">
        <f>Table1[[#This Row],[Revenue generated]]-Table1[[#This Row],[Manufacturing costs]]-Table1[[#This Row],[Shipping costs]]</f>
        <v>7122.1544931572453</v>
      </c>
      <c r="Z46" s="4">
        <f t="shared" si="1"/>
        <v>0.99578714328957207</v>
      </c>
    </row>
    <row r="47" spans="1:26" x14ac:dyDescent="0.3">
      <c r="A47" s="3" t="s">
        <v>24</v>
      </c>
      <c r="B47" s="3" t="s">
        <v>99</v>
      </c>
      <c r="C47" s="2">
        <v>33.784138033065503</v>
      </c>
      <c r="D47" s="1">
        <v>1</v>
      </c>
      <c r="E47" s="1">
        <v>24</v>
      </c>
      <c r="F47" s="5">
        <v>5267.9568075105199</v>
      </c>
      <c r="G47" t="s">
        <v>55</v>
      </c>
      <c r="H47">
        <v>93</v>
      </c>
      <c r="I47" s="1">
        <v>7</v>
      </c>
      <c r="J47">
        <v>52</v>
      </c>
      <c r="K47">
        <v>6</v>
      </c>
      <c r="L47" s="3" t="s">
        <v>27</v>
      </c>
      <c r="M47" s="2">
        <v>5.2151550087119096</v>
      </c>
      <c r="N47" t="s">
        <v>61</v>
      </c>
      <c r="O47" t="s">
        <v>62</v>
      </c>
      <c r="P47">
        <v>25</v>
      </c>
      <c r="Q47">
        <v>794</v>
      </c>
      <c r="R47">
        <v>25</v>
      </c>
      <c r="S47">
        <v>66.312544439991598</v>
      </c>
      <c r="T47" t="s">
        <v>64</v>
      </c>
      <c r="U47" s="4">
        <v>3.2196046120841002</v>
      </c>
      <c r="V47" t="s">
        <v>47</v>
      </c>
      <c r="W47" t="s">
        <v>48</v>
      </c>
      <c r="X47">
        <v>495.30569702847299</v>
      </c>
      <c r="Y47" s="2">
        <f>Table1[[#This Row],[Revenue generated]]-Table1[[#This Row],[Manufacturing costs]]-Table1[[#This Row],[Shipping costs]]</f>
        <v>5196.4291080618159</v>
      </c>
      <c r="Z47" s="4">
        <f t="shared" si="1"/>
        <v>0.98642211732891827</v>
      </c>
    </row>
    <row r="48" spans="1:26" x14ac:dyDescent="0.3">
      <c r="A48" s="3" t="s">
        <v>24</v>
      </c>
      <c r="B48" s="3" t="s">
        <v>100</v>
      </c>
      <c r="C48" s="2">
        <v>27.082207199888899</v>
      </c>
      <c r="D48" s="1">
        <v>75</v>
      </c>
      <c r="E48" s="1">
        <v>859</v>
      </c>
      <c r="F48" s="5">
        <v>2556.7673606335902</v>
      </c>
      <c r="G48" t="s">
        <v>26</v>
      </c>
      <c r="H48">
        <v>92</v>
      </c>
      <c r="I48" s="1">
        <v>29</v>
      </c>
      <c r="J48">
        <v>6</v>
      </c>
      <c r="K48">
        <v>8</v>
      </c>
      <c r="L48" s="3" t="s">
        <v>27</v>
      </c>
      <c r="M48" s="2">
        <v>4.0709558370840799</v>
      </c>
      <c r="N48" t="s">
        <v>28</v>
      </c>
      <c r="O48" t="s">
        <v>62</v>
      </c>
      <c r="P48">
        <v>18</v>
      </c>
      <c r="Q48">
        <v>870</v>
      </c>
      <c r="R48">
        <v>23</v>
      </c>
      <c r="S48">
        <v>77.322353211051606</v>
      </c>
      <c r="T48" t="s">
        <v>30</v>
      </c>
      <c r="U48" s="4">
        <v>3.6486105925361998</v>
      </c>
      <c r="V48" t="s">
        <v>31</v>
      </c>
      <c r="W48" t="s">
        <v>32</v>
      </c>
      <c r="X48">
        <v>380.43593711196399</v>
      </c>
      <c r="Y48" s="2">
        <f>Table1[[#This Row],[Revenue generated]]-Table1[[#This Row],[Manufacturing costs]]-Table1[[#This Row],[Shipping costs]]</f>
        <v>2475.3740515854547</v>
      </c>
      <c r="Z48" s="4">
        <f t="shared" si="1"/>
        <v>0.96816553969620234</v>
      </c>
    </row>
    <row r="49" spans="1:26" x14ac:dyDescent="0.3">
      <c r="A49" s="3" t="s">
        <v>33</v>
      </c>
      <c r="B49" s="3" t="s">
        <v>101</v>
      </c>
      <c r="C49" s="2">
        <v>95.712135880936003</v>
      </c>
      <c r="D49" s="1">
        <v>93</v>
      </c>
      <c r="E49" s="1">
        <v>910</v>
      </c>
      <c r="F49" s="5">
        <v>7089.4742499341801</v>
      </c>
      <c r="G49" t="s">
        <v>55</v>
      </c>
      <c r="H49">
        <v>4</v>
      </c>
      <c r="I49" s="1">
        <v>15</v>
      </c>
      <c r="J49">
        <v>51</v>
      </c>
      <c r="K49">
        <v>9</v>
      </c>
      <c r="L49" s="3" t="s">
        <v>27</v>
      </c>
      <c r="M49" s="2">
        <v>8.9787507559499709</v>
      </c>
      <c r="N49" t="s">
        <v>39</v>
      </c>
      <c r="O49" t="s">
        <v>45</v>
      </c>
      <c r="P49">
        <v>10</v>
      </c>
      <c r="Q49">
        <v>964</v>
      </c>
      <c r="R49">
        <v>20</v>
      </c>
      <c r="S49">
        <v>19.7129929112936</v>
      </c>
      <c r="T49" t="s">
        <v>30</v>
      </c>
      <c r="U49" s="4">
        <v>0.38057358671321301</v>
      </c>
      <c r="V49" t="s">
        <v>47</v>
      </c>
      <c r="W49" t="s">
        <v>48</v>
      </c>
      <c r="X49">
        <v>581.60235505058597</v>
      </c>
      <c r="Y49" s="2">
        <f>Table1[[#This Row],[Revenue generated]]-Table1[[#This Row],[Manufacturing costs]]-Table1[[#This Row],[Shipping costs]]</f>
        <v>7060.7825062669363</v>
      </c>
      <c r="Z49" s="4">
        <f t="shared" si="1"/>
        <v>0.99595290953098392</v>
      </c>
    </row>
    <row r="50" spans="1:26" x14ac:dyDescent="0.3">
      <c r="A50" s="3" t="s">
        <v>24</v>
      </c>
      <c r="B50" s="3" t="s">
        <v>102</v>
      </c>
      <c r="C50" s="2">
        <v>76.035544426891704</v>
      </c>
      <c r="D50" s="1">
        <v>28</v>
      </c>
      <c r="E50" s="1">
        <v>29</v>
      </c>
      <c r="F50" s="5">
        <v>7397.0710045871801</v>
      </c>
      <c r="G50" t="s">
        <v>26</v>
      </c>
      <c r="H50">
        <v>30</v>
      </c>
      <c r="I50" s="1">
        <v>16</v>
      </c>
      <c r="J50">
        <v>9</v>
      </c>
      <c r="K50">
        <v>3</v>
      </c>
      <c r="L50" s="3" t="s">
        <v>43</v>
      </c>
      <c r="M50" s="2">
        <v>7.0958331565551296</v>
      </c>
      <c r="N50" t="s">
        <v>61</v>
      </c>
      <c r="O50" t="s">
        <v>29</v>
      </c>
      <c r="P50">
        <v>9</v>
      </c>
      <c r="Q50">
        <v>109</v>
      </c>
      <c r="R50">
        <v>18</v>
      </c>
      <c r="S50">
        <v>23.126363582464698</v>
      </c>
      <c r="T50" t="s">
        <v>46</v>
      </c>
      <c r="U50" s="4">
        <v>1.6981125407144</v>
      </c>
      <c r="V50" t="s">
        <v>47</v>
      </c>
      <c r="W50" t="s">
        <v>32</v>
      </c>
      <c r="X50">
        <v>768.65191395437</v>
      </c>
      <c r="Y50" s="2">
        <f>Table1[[#This Row],[Revenue generated]]-Table1[[#This Row],[Manufacturing costs]]-Table1[[#This Row],[Shipping costs]]</f>
        <v>7366.8488078481605</v>
      </c>
      <c r="Z50" s="4">
        <f t="shared" si="1"/>
        <v>0.9959143021987652</v>
      </c>
    </row>
    <row r="51" spans="1:26" x14ac:dyDescent="0.3">
      <c r="A51" s="3" t="s">
        <v>57</v>
      </c>
      <c r="B51" s="3" t="s">
        <v>103</v>
      </c>
      <c r="C51" s="2">
        <v>78.897913205639995</v>
      </c>
      <c r="D51" s="1">
        <v>19</v>
      </c>
      <c r="E51" s="1">
        <v>99</v>
      </c>
      <c r="F51" s="5">
        <v>8001.6132065190004</v>
      </c>
      <c r="G51" t="s">
        <v>38</v>
      </c>
      <c r="H51">
        <v>97</v>
      </c>
      <c r="I51" s="1">
        <v>24</v>
      </c>
      <c r="J51">
        <v>9</v>
      </c>
      <c r="K51">
        <v>6</v>
      </c>
      <c r="L51" s="3" t="s">
        <v>43</v>
      </c>
      <c r="M51" s="2">
        <v>2.5056210329009101</v>
      </c>
      <c r="N51" t="s">
        <v>44</v>
      </c>
      <c r="O51" t="s">
        <v>50</v>
      </c>
      <c r="P51">
        <v>28</v>
      </c>
      <c r="Q51">
        <v>177</v>
      </c>
      <c r="R51">
        <v>28</v>
      </c>
      <c r="S51">
        <v>14.1478154439792</v>
      </c>
      <c r="T51" t="s">
        <v>64</v>
      </c>
      <c r="U51" s="4">
        <v>2.8258139854001301</v>
      </c>
      <c r="V51" t="s">
        <v>47</v>
      </c>
      <c r="W51" t="s">
        <v>48</v>
      </c>
      <c r="X51">
        <v>336.89016851997701</v>
      </c>
      <c r="Y51" s="2">
        <f>Table1[[#This Row],[Revenue generated]]-Table1[[#This Row],[Manufacturing costs]]-Table1[[#This Row],[Shipping costs]]</f>
        <v>7984.95977004212</v>
      </c>
      <c r="Z51" s="4">
        <f t="shared" si="1"/>
        <v>0.99791874012813908</v>
      </c>
    </row>
    <row r="52" spans="1:26" x14ac:dyDescent="0.3">
      <c r="A52" s="3" t="s">
        <v>57</v>
      </c>
      <c r="B52" s="3" t="s">
        <v>104</v>
      </c>
      <c r="C52" s="2">
        <v>14.203484264803</v>
      </c>
      <c r="D52" s="1">
        <v>91</v>
      </c>
      <c r="E52" s="1">
        <v>633</v>
      </c>
      <c r="F52" s="5">
        <v>5910.8853896688897</v>
      </c>
      <c r="G52" t="s">
        <v>35</v>
      </c>
      <c r="H52">
        <v>31</v>
      </c>
      <c r="I52" s="1">
        <v>23</v>
      </c>
      <c r="J52">
        <v>82</v>
      </c>
      <c r="K52">
        <v>10</v>
      </c>
      <c r="L52" s="3" t="s">
        <v>36</v>
      </c>
      <c r="M52" s="2">
        <v>6.2478609149759903</v>
      </c>
      <c r="N52" t="s">
        <v>61</v>
      </c>
      <c r="O52" t="s">
        <v>50</v>
      </c>
      <c r="P52">
        <v>20</v>
      </c>
      <c r="Q52">
        <v>306</v>
      </c>
      <c r="R52">
        <v>21</v>
      </c>
      <c r="S52">
        <v>45.178757924634503</v>
      </c>
      <c r="T52" t="s">
        <v>46</v>
      </c>
      <c r="U52" s="4">
        <v>4.7548008046711798</v>
      </c>
      <c r="V52" t="s">
        <v>47</v>
      </c>
      <c r="W52" t="s">
        <v>32</v>
      </c>
      <c r="X52">
        <v>496.24865029194001</v>
      </c>
      <c r="Y52" s="2">
        <f>Table1[[#This Row],[Revenue generated]]-Table1[[#This Row],[Manufacturing costs]]-Table1[[#This Row],[Shipping costs]]</f>
        <v>5859.4587708292793</v>
      </c>
      <c r="Z52" s="4">
        <f t="shared" si="1"/>
        <v>0.99129967586082879</v>
      </c>
    </row>
    <row r="53" spans="1:26" x14ac:dyDescent="0.3">
      <c r="A53" s="3" t="s">
        <v>24</v>
      </c>
      <c r="B53" s="3" t="s">
        <v>105</v>
      </c>
      <c r="C53" s="2">
        <v>26.700760972461701</v>
      </c>
      <c r="D53" s="1">
        <v>61</v>
      </c>
      <c r="E53" s="1">
        <v>154</v>
      </c>
      <c r="F53" s="5">
        <v>9866.4654579796897</v>
      </c>
      <c r="G53" t="s">
        <v>55</v>
      </c>
      <c r="H53">
        <v>100</v>
      </c>
      <c r="I53" s="1">
        <v>4</v>
      </c>
      <c r="J53">
        <v>52</v>
      </c>
      <c r="K53">
        <v>1</v>
      </c>
      <c r="L53" s="3" t="s">
        <v>36</v>
      </c>
      <c r="M53" s="2">
        <v>4.78300055794766</v>
      </c>
      <c r="N53" t="s">
        <v>44</v>
      </c>
      <c r="O53" t="s">
        <v>53</v>
      </c>
      <c r="P53">
        <v>18</v>
      </c>
      <c r="Q53">
        <v>673</v>
      </c>
      <c r="R53">
        <v>28</v>
      </c>
      <c r="S53">
        <v>14.190328344569901</v>
      </c>
      <c r="T53" t="s">
        <v>30</v>
      </c>
      <c r="U53" s="4">
        <v>1.77295117208355</v>
      </c>
      <c r="V53" t="s">
        <v>31</v>
      </c>
      <c r="W53" t="s">
        <v>48</v>
      </c>
      <c r="X53">
        <v>694.98231757944495</v>
      </c>
      <c r="Y53" s="2">
        <f>Table1[[#This Row],[Revenue generated]]-Table1[[#This Row],[Manufacturing costs]]-Table1[[#This Row],[Shipping costs]]</f>
        <v>9847.4921290771726</v>
      </c>
      <c r="Z53" s="4">
        <f t="shared" si="1"/>
        <v>0.99807698826055569</v>
      </c>
    </row>
    <row r="54" spans="1:26" x14ac:dyDescent="0.3">
      <c r="A54" s="3" t="s">
        <v>33</v>
      </c>
      <c r="B54" s="3" t="s">
        <v>106</v>
      </c>
      <c r="C54" s="2">
        <v>98.031829656465007</v>
      </c>
      <c r="D54" s="1">
        <v>1</v>
      </c>
      <c r="E54" s="1">
        <v>820</v>
      </c>
      <c r="F54" s="5">
        <v>9435.7626089121295</v>
      </c>
      <c r="G54" t="s">
        <v>55</v>
      </c>
      <c r="H54">
        <v>64</v>
      </c>
      <c r="I54" s="1">
        <v>11</v>
      </c>
      <c r="J54">
        <v>11</v>
      </c>
      <c r="K54">
        <v>1</v>
      </c>
      <c r="L54" s="3" t="s">
        <v>27</v>
      </c>
      <c r="M54" s="2">
        <v>8.6310521797689397</v>
      </c>
      <c r="N54" t="s">
        <v>39</v>
      </c>
      <c r="O54" t="s">
        <v>29</v>
      </c>
      <c r="P54">
        <v>10</v>
      </c>
      <c r="Q54">
        <v>727</v>
      </c>
      <c r="R54">
        <v>27</v>
      </c>
      <c r="S54">
        <v>9.1668491485971497</v>
      </c>
      <c r="T54" t="s">
        <v>30</v>
      </c>
      <c r="U54" s="4">
        <v>2.1224716191438202</v>
      </c>
      <c r="V54" t="s">
        <v>40</v>
      </c>
      <c r="W54" t="s">
        <v>41</v>
      </c>
      <c r="X54">
        <v>602.89849883838303</v>
      </c>
      <c r="Y54" s="2">
        <f>Table1[[#This Row],[Revenue generated]]-Table1[[#This Row],[Manufacturing costs]]-Table1[[#This Row],[Shipping costs]]</f>
        <v>9417.964707583762</v>
      </c>
      <c r="Z54" s="4">
        <f t="shared" si="1"/>
        <v>0.99811378241843884</v>
      </c>
    </row>
    <row r="55" spans="1:26" x14ac:dyDescent="0.3">
      <c r="A55" s="3" t="s">
        <v>33</v>
      </c>
      <c r="B55" s="3" t="s">
        <v>107</v>
      </c>
      <c r="C55" s="2">
        <v>30.3414707112142</v>
      </c>
      <c r="D55" s="1">
        <v>93</v>
      </c>
      <c r="E55" s="1">
        <v>242</v>
      </c>
      <c r="F55" s="5">
        <v>8232.3348294258194</v>
      </c>
      <c r="G55" t="s">
        <v>55</v>
      </c>
      <c r="H55">
        <v>96</v>
      </c>
      <c r="I55" s="1">
        <v>25</v>
      </c>
      <c r="J55">
        <v>54</v>
      </c>
      <c r="K55">
        <v>3</v>
      </c>
      <c r="L55" s="3" t="s">
        <v>27</v>
      </c>
      <c r="M55" s="2">
        <v>1.0134865660958901</v>
      </c>
      <c r="N55" t="s">
        <v>39</v>
      </c>
      <c r="O55" t="s">
        <v>50</v>
      </c>
      <c r="P55">
        <v>1</v>
      </c>
      <c r="Q55">
        <v>631</v>
      </c>
      <c r="R55">
        <v>17</v>
      </c>
      <c r="S55">
        <v>83.344058991677898</v>
      </c>
      <c r="T55" t="s">
        <v>30</v>
      </c>
      <c r="U55" s="4">
        <v>1.41034757607602</v>
      </c>
      <c r="V55" t="s">
        <v>40</v>
      </c>
      <c r="W55" t="s">
        <v>32</v>
      </c>
      <c r="X55">
        <v>750.73784066827</v>
      </c>
      <c r="Y55" s="2">
        <f>Table1[[#This Row],[Revenue generated]]-Table1[[#This Row],[Manufacturing costs]]-Table1[[#This Row],[Shipping costs]]</f>
        <v>8147.9772838680456</v>
      </c>
      <c r="Z55" s="4">
        <f t="shared" si="1"/>
        <v>0.98975290153939743</v>
      </c>
    </row>
    <row r="56" spans="1:26" x14ac:dyDescent="0.3">
      <c r="A56" s="3" t="s">
        <v>24</v>
      </c>
      <c r="B56" s="3" t="s">
        <v>108</v>
      </c>
      <c r="C56" s="2">
        <v>31.1462431602408</v>
      </c>
      <c r="D56" s="1">
        <v>11</v>
      </c>
      <c r="E56" s="1">
        <v>622</v>
      </c>
      <c r="F56" s="5">
        <v>6088.0214799408504</v>
      </c>
      <c r="G56" t="s">
        <v>26</v>
      </c>
      <c r="H56">
        <v>33</v>
      </c>
      <c r="I56" s="1">
        <v>22</v>
      </c>
      <c r="J56">
        <v>61</v>
      </c>
      <c r="K56">
        <v>3</v>
      </c>
      <c r="L56" s="3" t="s">
        <v>27</v>
      </c>
      <c r="M56" s="2">
        <v>4.3051034712876302</v>
      </c>
      <c r="N56" t="s">
        <v>39</v>
      </c>
      <c r="O56" t="s">
        <v>45</v>
      </c>
      <c r="P56">
        <v>26</v>
      </c>
      <c r="Q56">
        <v>497</v>
      </c>
      <c r="R56">
        <v>29</v>
      </c>
      <c r="S56">
        <v>30.186023375822501</v>
      </c>
      <c r="T56" t="s">
        <v>64</v>
      </c>
      <c r="U56" s="4">
        <v>2.4787719755397402</v>
      </c>
      <c r="V56" t="s">
        <v>31</v>
      </c>
      <c r="W56" t="s">
        <v>32</v>
      </c>
      <c r="X56">
        <v>814.06999658218695</v>
      </c>
      <c r="Y56" s="2">
        <f>Table1[[#This Row],[Revenue generated]]-Table1[[#This Row],[Manufacturing costs]]-Table1[[#This Row],[Shipping costs]]</f>
        <v>6053.5303530937399</v>
      </c>
      <c r="Z56" s="4">
        <f t="shared" si="1"/>
        <v>0.9943345917945996</v>
      </c>
    </row>
    <row r="57" spans="1:26" x14ac:dyDescent="0.3">
      <c r="A57" s="3" t="s">
        <v>24</v>
      </c>
      <c r="B57" s="3" t="s">
        <v>109</v>
      </c>
      <c r="C57" s="2">
        <v>79.855058340789398</v>
      </c>
      <c r="D57" s="1">
        <v>16</v>
      </c>
      <c r="E57" s="1">
        <v>701</v>
      </c>
      <c r="F57" s="5">
        <v>2925.6751703038099</v>
      </c>
      <c r="G57" t="s">
        <v>55</v>
      </c>
      <c r="H57">
        <v>97</v>
      </c>
      <c r="I57" s="1">
        <v>11</v>
      </c>
      <c r="J57">
        <v>11</v>
      </c>
      <c r="K57">
        <v>5</v>
      </c>
      <c r="L57" s="3" t="s">
        <v>36</v>
      </c>
      <c r="M57" s="2">
        <v>5.0143649550309002</v>
      </c>
      <c r="N57" t="s">
        <v>61</v>
      </c>
      <c r="O57" t="s">
        <v>50</v>
      </c>
      <c r="P57">
        <v>27</v>
      </c>
      <c r="Q57">
        <v>918</v>
      </c>
      <c r="R57">
        <v>5</v>
      </c>
      <c r="S57">
        <v>30.323545256616502</v>
      </c>
      <c r="T57" t="s">
        <v>46</v>
      </c>
      <c r="U57" s="4">
        <v>4.5489196593963799</v>
      </c>
      <c r="V57" t="s">
        <v>56</v>
      </c>
      <c r="W57" t="s">
        <v>32</v>
      </c>
      <c r="X57">
        <v>323.01292795247798</v>
      </c>
      <c r="Y57" s="2">
        <f>Table1[[#This Row],[Revenue generated]]-Table1[[#This Row],[Manufacturing costs]]-Table1[[#This Row],[Shipping costs]]</f>
        <v>2890.3372600921625</v>
      </c>
      <c r="Z57" s="4">
        <f t="shared" si="1"/>
        <v>0.98792145123616792</v>
      </c>
    </row>
    <row r="58" spans="1:26" x14ac:dyDescent="0.3">
      <c r="A58" s="3" t="s">
        <v>33</v>
      </c>
      <c r="B58" s="3" t="s">
        <v>110</v>
      </c>
      <c r="C58" s="2">
        <v>20.9863860370433</v>
      </c>
      <c r="D58" s="1">
        <v>90</v>
      </c>
      <c r="E58" s="1">
        <v>93</v>
      </c>
      <c r="F58" s="5">
        <v>4767.0204843441297</v>
      </c>
      <c r="G58" t="s">
        <v>26</v>
      </c>
      <c r="H58">
        <v>25</v>
      </c>
      <c r="I58" s="1">
        <v>23</v>
      </c>
      <c r="J58">
        <v>83</v>
      </c>
      <c r="K58">
        <v>5</v>
      </c>
      <c r="L58" s="3" t="s">
        <v>43</v>
      </c>
      <c r="M58" s="2">
        <v>1.77442971407173</v>
      </c>
      <c r="N58" t="s">
        <v>39</v>
      </c>
      <c r="O58" t="s">
        <v>29</v>
      </c>
      <c r="P58">
        <v>24</v>
      </c>
      <c r="Q58">
        <v>826</v>
      </c>
      <c r="R58">
        <v>28</v>
      </c>
      <c r="S58">
        <v>12.8362845728327</v>
      </c>
      <c r="T58" t="s">
        <v>64</v>
      </c>
      <c r="U58" s="4">
        <v>1.1737554953874501</v>
      </c>
      <c r="V58" t="s">
        <v>40</v>
      </c>
      <c r="W58" t="s">
        <v>32</v>
      </c>
      <c r="X58">
        <v>832.210808706021</v>
      </c>
      <c r="Y58" s="2">
        <f>Table1[[#This Row],[Revenue generated]]-Table1[[#This Row],[Manufacturing costs]]-Table1[[#This Row],[Shipping costs]]</f>
        <v>4752.4097700572256</v>
      </c>
      <c r="Z58" s="4">
        <f t="shared" si="1"/>
        <v>0.99693504268863775</v>
      </c>
    </row>
    <row r="59" spans="1:26" x14ac:dyDescent="0.3">
      <c r="A59" s="3" t="s">
        <v>24</v>
      </c>
      <c r="B59" s="3" t="s">
        <v>111</v>
      </c>
      <c r="C59" s="2">
        <v>49.263205350734097</v>
      </c>
      <c r="D59" s="1">
        <v>65</v>
      </c>
      <c r="E59" s="1">
        <v>227</v>
      </c>
      <c r="F59" s="5">
        <v>1605.8669003924001</v>
      </c>
      <c r="G59" t="s">
        <v>38</v>
      </c>
      <c r="H59">
        <v>5</v>
      </c>
      <c r="I59" s="1">
        <v>18</v>
      </c>
      <c r="J59">
        <v>51</v>
      </c>
      <c r="K59">
        <v>1</v>
      </c>
      <c r="L59" s="3" t="s">
        <v>27</v>
      </c>
      <c r="M59" s="2">
        <v>9.1605585353818704</v>
      </c>
      <c r="N59" t="s">
        <v>61</v>
      </c>
      <c r="O59" t="s">
        <v>50</v>
      </c>
      <c r="P59">
        <v>21</v>
      </c>
      <c r="Q59">
        <v>588</v>
      </c>
      <c r="R59">
        <v>25</v>
      </c>
      <c r="S59">
        <v>67.779622987078099</v>
      </c>
      <c r="T59" t="s">
        <v>30</v>
      </c>
      <c r="U59" s="4">
        <v>2.5111748302126999</v>
      </c>
      <c r="V59" t="s">
        <v>47</v>
      </c>
      <c r="W59" t="s">
        <v>48</v>
      </c>
      <c r="X59">
        <v>482.19123860252802</v>
      </c>
      <c r="Y59" s="2">
        <f>Table1[[#This Row],[Revenue generated]]-Table1[[#This Row],[Manufacturing costs]]-Table1[[#This Row],[Shipping costs]]</f>
        <v>1528.9267188699403</v>
      </c>
      <c r="Z59" s="4">
        <f t="shared" si="1"/>
        <v>0.95208807062175627</v>
      </c>
    </row>
    <row r="60" spans="1:26" x14ac:dyDescent="0.3">
      <c r="A60" s="3" t="s">
        <v>33</v>
      </c>
      <c r="B60" s="3" t="s">
        <v>112</v>
      </c>
      <c r="C60" s="2">
        <v>59.841561377289302</v>
      </c>
      <c r="D60" s="1">
        <v>81</v>
      </c>
      <c r="E60" s="1">
        <v>896</v>
      </c>
      <c r="F60" s="5">
        <v>2021.1498103371</v>
      </c>
      <c r="G60" t="s">
        <v>26</v>
      </c>
      <c r="H60">
        <v>10</v>
      </c>
      <c r="I60" s="1">
        <v>5</v>
      </c>
      <c r="J60">
        <v>44</v>
      </c>
      <c r="K60">
        <v>7</v>
      </c>
      <c r="L60" s="3" t="s">
        <v>36</v>
      </c>
      <c r="M60" s="2">
        <v>4.9384385647120901</v>
      </c>
      <c r="N60" t="s">
        <v>28</v>
      </c>
      <c r="O60" t="s">
        <v>50</v>
      </c>
      <c r="P60">
        <v>18</v>
      </c>
      <c r="Q60">
        <v>396</v>
      </c>
      <c r="R60">
        <v>7</v>
      </c>
      <c r="S60">
        <v>65.047415094691402</v>
      </c>
      <c r="T60" t="s">
        <v>46</v>
      </c>
      <c r="U60" s="4">
        <v>1.7303747198591899</v>
      </c>
      <c r="V60" t="s">
        <v>31</v>
      </c>
      <c r="W60" t="s">
        <v>32</v>
      </c>
      <c r="X60">
        <v>110.364335231364</v>
      </c>
      <c r="Y60" s="2">
        <f>Table1[[#This Row],[Revenue generated]]-Table1[[#This Row],[Manufacturing costs]]-Table1[[#This Row],[Shipping costs]]</f>
        <v>1951.1639566776967</v>
      </c>
      <c r="Z60" s="4">
        <f t="shared" si="1"/>
        <v>0.96537324779120126</v>
      </c>
    </row>
    <row r="61" spans="1:26" x14ac:dyDescent="0.3">
      <c r="A61" s="3" t="s">
        <v>57</v>
      </c>
      <c r="B61" s="3" t="s">
        <v>113</v>
      </c>
      <c r="C61" s="2">
        <v>63.828398347710902</v>
      </c>
      <c r="D61" s="1">
        <v>30</v>
      </c>
      <c r="E61" s="1">
        <v>484</v>
      </c>
      <c r="F61" s="5">
        <v>1061.6185230132801</v>
      </c>
      <c r="G61" t="s">
        <v>26</v>
      </c>
      <c r="H61">
        <v>100</v>
      </c>
      <c r="I61" s="1">
        <v>16</v>
      </c>
      <c r="J61">
        <v>26</v>
      </c>
      <c r="K61">
        <v>7</v>
      </c>
      <c r="L61" s="3" t="s">
        <v>27</v>
      </c>
      <c r="M61" s="2">
        <v>7.2937225968677204</v>
      </c>
      <c r="N61" t="s">
        <v>39</v>
      </c>
      <c r="O61" t="s">
        <v>45</v>
      </c>
      <c r="P61">
        <v>11</v>
      </c>
      <c r="Q61">
        <v>176</v>
      </c>
      <c r="R61">
        <v>4</v>
      </c>
      <c r="S61">
        <v>1.90076224351945</v>
      </c>
      <c r="T61" t="s">
        <v>46</v>
      </c>
      <c r="U61" s="4">
        <v>0.44719401546382298</v>
      </c>
      <c r="V61" t="s">
        <v>40</v>
      </c>
      <c r="W61" t="s">
        <v>48</v>
      </c>
      <c r="X61">
        <v>312.57427361009297</v>
      </c>
      <c r="Y61" s="2">
        <f>Table1[[#This Row],[Revenue generated]]-Table1[[#This Row],[Manufacturing costs]]-Table1[[#This Row],[Shipping costs]]</f>
        <v>1052.424038172893</v>
      </c>
      <c r="Z61" s="4">
        <f t="shared" si="1"/>
        <v>0.99133918197443505</v>
      </c>
    </row>
    <row r="62" spans="1:26" x14ac:dyDescent="0.3">
      <c r="A62" s="3" t="s">
        <v>33</v>
      </c>
      <c r="B62" s="3" t="s">
        <v>114</v>
      </c>
      <c r="C62" s="2">
        <v>17.028027920188698</v>
      </c>
      <c r="D62" s="1">
        <v>16</v>
      </c>
      <c r="E62" s="1">
        <v>380</v>
      </c>
      <c r="F62" s="5">
        <v>8864.0843495864301</v>
      </c>
      <c r="G62" t="s">
        <v>35</v>
      </c>
      <c r="H62">
        <v>41</v>
      </c>
      <c r="I62" s="1">
        <v>27</v>
      </c>
      <c r="J62">
        <v>72</v>
      </c>
      <c r="K62">
        <v>8</v>
      </c>
      <c r="L62" s="3" t="s">
        <v>43</v>
      </c>
      <c r="M62" s="2">
        <v>4.3813681581023101</v>
      </c>
      <c r="N62" t="s">
        <v>52</v>
      </c>
      <c r="O62" t="s">
        <v>29</v>
      </c>
      <c r="P62">
        <v>29</v>
      </c>
      <c r="Q62">
        <v>929</v>
      </c>
      <c r="R62">
        <v>24</v>
      </c>
      <c r="S62">
        <v>87.213057815135599</v>
      </c>
      <c r="T62" t="s">
        <v>46</v>
      </c>
      <c r="U62" s="4">
        <v>2.8530906166490499</v>
      </c>
      <c r="V62" t="s">
        <v>47</v>
      </c>
      <c r="W62" t="s">
        <v>48</v>
      </c>
      <c r="X62">
        <v>430.16909697513597</v>
      </c>
      <c r="Y62" s="2">
        <f>Table1[[#This Row],[Revenue generated]]-Table1[[#This Row],[Manufacturing costs]]-Table1[[#This Row],[Shipping costs]]</f>
        <v>8772.4899236131914</v>
      </c>
      <c r="Z62" s="4">
        <f t="shared" si="1"/>
        <v>0.98966679215123754</v>
      </c>
    </row>
    <row r="63" spans="1:26" x14ac:dyDescent="0.3">
      <c r="A63" s="3" t="s">
        <v>24</v>
      </c>
      <c r="B63" s="3" t="s">
        <v>115</v>
      </c>
      <c r="C63" s="2">
        <v>52.028749903294901</v>
      </c>
      <c r="D63" s="1">
        <v>23</v>
      </c>
      <c r="E63" s="1">
        <v>117</v>
      </c>
      <c r="F63" s="5">
        <v>6885.5893508962499</v>
      </c>
      <c r="G63" t="s">
        <v>38</v>
      </c>
      <c r="H63">
        <v>32</v>
      </c>
      <c r="I63" s="1">
        <v>23</v>
      </c>
      <c r="J63">
        <v>36</v>
      </c>
      <c r="K63">
        <v>7</v>
      </c>
      <c r="L63" s="3" t="s">
        <v>43</v>
      </c>
      <c r="M63" s="2">
        <v>9.0303404225219399</v>
      </c>
      <c r="N63" t="s">
        <v>52</v>
      </c>
      <c r="O63" t="s">
        <v>45</v>
      </c>
      <c r="P63">
        <v>14</v>
      </c>
      <c r="Q63">
        <v>480</v>
      </c>
      <c r="R63">
        <v>12</v>
      </c>
      <c r="S63">
        <v>78.702393968878894</v>
      </c>
      <c r="T63" t="s">
        <v>46</v>
      </c>
      <c r="U63" s="4">
        <v>4.3674705382050503</v>
      </c>
      <c r="V63" t="s">
        <v>40</v>
      </c>
      <c r="W63" t="s">
        <v>48</v>
      </c>
      <c r="X63">
        <v>164.366528243419</v>
      </c>
      <c r="Y63" s="2">
        <f>Table1[[#This Row],[Revenue generated]]-Table1[[#This Row],[Manufacturing costs]]-Table1[[#This Row],[Shipping costs]]</f>
        <v>6797.8566165048487</v>
      </c>
      <c r="Z63" s="4">
        <f t="shared" si="1"/>
        <v>0.98725850033737761</v>
      </c>
    </row>
    <row r="64" spans="1:26" x14ac:dyDescent="0.3">
      <c r="A64" s="3" t="s">
        <v>57</v>
      </c>
      <c r="B64" s="3" t="s">
        <v>116</v>
      </c>
      <c r="C64" s="2">
        <v>72.796353955587307</v>
      </c>
      <c r="D64" s="1">
        <v>89</v>
      </c>
      <c r="E64" s="1">
        <v>270</v>
      </c>
      <c r="F64" s="5">
        <v>3899.7468337292198</v>
      </c>
      <c r="G64" t="s">
        <v>38</v>
      </c>
      <c r="H64">
        <v>86</v>
      </c>
      <c r="I64" s="1">
        <v>2</v>
      </c>
      <c r="J64">
        <v>40</v>
      </c>
      <c r="K64">
        <v>7</v>
      </c>
      <c r="L64" s="3" t="s">
        <v>43</v>
      </c>
      <c r="M64" s="2">
        <v>7.2917013887767697</v>
      </c>
      <c r="N64" t="s">
        <v>61</v>
      </c>
      <c r="O64" t="s">
        <v>29</v>
      </c>
      <c r="P64">
        <v>13</v>
      </c>
      <c r="Q64">
        <v>751</v>
      </c>
      <c r="R64">
        <v>14</v>
      </c>
      <c r="S64">
        <v>21.048642725168602</v>
      </c>
      <c r="T64" t="s">
        <v>64</v>
      </c>
      <c r="U64" s="4">
        <v>1.87400140404437</v>
      </c>
      <c r="V64" t="s">
        <v>56</v>
      </c>
      <c r="W64" t="s">
        <v>41</v>
      </c>
      <c r="X64">
        <v>320.84651575911101</v>
      </c>
      <c r="Y64" s="2">
        <f>Table1[[#This Row],[Revenue generated]]-Table1[[#This Row],[Manufacturing costs]]-Table1[[#This Row],[Shipping costs]]</f>
        <v>3871.4064896152745</v>
      </c>
      <c r="Z64" s="4">
        <f t="shared" si="1"/>
        <v>0.99273277335112442</v>
      </c>
    </row>
    <row r="65" spans="1:26" x14ac:dyDescent="0.3">
      <c r="A65" s="3" t="s">
        <v>33</v>
      </c>
      <c r="B65" s="3" t="s">
        <v>117</v>
      </c>
      <c r="C65" s="2">
        <v>13.0173767852878</v>
      </c>
      <c r="D65" s="1">
        <v>55</v>
      </c>
      <c r="E65" s="1">
        <v>246</v>
      </c>
      <c r="F65" s="5">
        <v>4256.9491408502199</v>
      </c>
      <c r="G65" t="s">
        <v>26</v>
      </c>
      <c r="H65">
        <v>54</v>
      </c>
      <c r="I65" s="1">
        <v>19</v>
      </c>
      <c r="J65">
        <v>10</v>
      </c>
      <c r="K65">
        <v>4</v>
      </c>
      <c r="L65" s="3" t="s">
        <v>36</v>
      </c>
      <c r="M65" s="2">
        <v>2.45793352798733</v>
      </c>
      <c r="N65" t="s">
        <v>28</v>
      </c>
      <c r="O65" t="s">
        <v>53</v>
      </c>
      <c r="P65">
        <v>18</v>
      </c>
      <c r="Q65">
        <v>736</v>
      </c>
      <c r="R65">
        <v>10</v>
      </c>
      <c r="S65">
        <v>20.075003975630398</v>
      </c>
      <c r="T65" t="s">
        <v>30</v>
      </c>
      <c r="U65" s="4">
        <v>3.6328432903821302</v>
      </c>
      <c r="V65" t="s">
        <v>56</v>
      </c>
      <c r="W65" t="s">
        <v>48</v>
      </c>
      <c r="X65">
        <v>687.28617786641701</v>
      </c>
      <c r="Y65" s="2">
        <f>Table1[[#This Row],[Revenue generated]]-Table1[[#This Row],[Manufacturing costs]]-Table1[[#This Row],[Shipping costs]]</f>
        <v>4234.4162033466018</v>
      </c>
      <c r="Z65" s="4">
        <f t="shared" si="1"/>
        <v>0.99470678724173867</v>
      </c>
    </row>
    <row r="66" spans="1:26" x14ac:dyDescent="0.3">
      <c r="A66" s="3" t="s">
        <v>33</v>
      </c>
      <c r="B66" s="3" t="s">
        <v>118</v>
      </c>
      <c r="C66" s="2">
        <v>89.634095608135297</v>
      </c>
      <c r="D66" s="1">
        <v>11</v>
      </c>
      <c r="E66" s="1">
        <v>134</v>
      </c>
      <c r="F66" s="5">
        <v>8458.7308783671706</v>
      </c>
      <c r="G66" t="s">
        <v>35</v>
      </c>
      <c r="H66">
        <v>73</v>
      </c>
      <c r="I66" s="1">
        <v>27</v>
      </c>
      <c r="J66">
        <v>75</v>
      </c>
      <c r="K66">
        <v>6</v>
      </c>
      <c r="L66" s="3" t="s">
        <v>43</v>
      </c>
      <c r="M66" s="2">
        <v>4.5853534681946497</v>
      </c>
      <c r="N66" t="s">
        <v>39</v>
      </c>
      <c r="O66" t="s">
        <v>50</v>
      </c>
      <c r="P66">
        <v>17</v>
      </c>
      <c r="Q66">
        <v>328</v>
      </c>
      <c r="R66">
        <v>6</v>
      </c>
      <c r="S66">
        <v>8.6930424258772803</v>
      </c>
      <c r="T66" t="s">
        <v>46</v>
      </c>
      <c r="U66" s="4">
        <v>0.15948631471751401</v>
      </c>
      <c r="V66" t="s">
        <v>40</v>
      </c>
      <c r="W66" t="s">
        <v>41</v>
      </c>
      <c r="X66">
        <v>771.225084681157</v>
      </c>
      <c r="Y66" s="2">
        <f>Table1[[#This Row],[Revenue generated]]-Table1[[#This Row],[Manufacturing costs]]-Table1[[#This Row],[Shipping costs]]</f>
        <v>8445.4524824730979</v>
      </c>
      <c r="Z66" s="4">
        <f t="shared" ref="Z66:Z97" si="2">(Y66/F66)</f>
        <v>0.99843021416746669</v>
      </c>
    </row>
    <row r="67" spans="1:26" x14ac:dyDescent="0.3">
      <c r="A67" s="3" t="s">
        <v>33</v>
      </c>
      <c r="B67" s="3" t="s">
        <v>119</v>
      </c>
      <c r="C67" s="2">
        <v>33.697717206643098</v>
      </c>
      <c r="D67" s="1">
        <v>72</v>
      </c>
      <c r="E67" s="1">
        <v>457</v>
      </c>
      <c r="F67" s="5">
        <v>8354.5796864819895</v>
      </c>
      <c r="G67" t="s">
        <v>55</v>
      </c>
      <c r="H67">
        <v>57</v>
      </c>
      <c r="I67" s="1">
        <v>24</v>
      </c>
      <c r="J67">
        <v>54</v>
      </c>
      <c r="K67">
        <v>8</v>
      </c>
      <c r="L67" s="3" t="s">
        <v>43</v>
      </c>
      <c r="M67" s="2">
        <v>6.5805413478845898</v>
      </c>
      <c r="N67" t="s">
        <v>44</v>
      </c>
      <c r="O67" t="s">
        <v>45</v>
      </c>
      <c r="P67">
        <v>16</v>
      </c>
      <c r="Q67">
        <v>358</v>
      </c>
      <c r="R67">
        <v>21</v>
      </c>
      <c r="S67">
        <v>1.59722274305067</v>
      </c>
      <c r="T67" t="s">
        <v>46</v>
      </c>
      <c r="U67" s="4">
        <v>4.9110959548423301</v>
      </c>
      <c r="V67" t="s">
        <v>47</v>
      </c>
      <c r="W67" t="s">
        <v>41</v>
      </c>
      <c r="X67">
        <v>555.85910367174301</v>
      </c>
      <c r="Y67" s="2">
        <f>Table1[[#This Row],[Revenue generated]]-Table1[[#This Row],[Manufacturing costs]]-Table1[[#This Row],[Shipping costs]]</f>
        <v>8346.4019223910545</v>
      </c>
      <c r="Z67" s="4">
        <f t="shared" si="2"/>
        <v>0.99902116391274998</v>
      </c>
    </row>
    <row r="68" spans="1:26" x14ac:dyDescent="0.3">
      <c r="A68" s="3" t="s">
        <v>33</v>
      </c>
      <c r="B68" s="3" t="s">
        <v>120</v>
      </c>
      <c r="C68" s="2">
        <v>26.034869773962001</v>
      </c>
      <c r="D68" s="1">
        <v>52</v>
      </c>
      <c r="E68" s="1">
        <v>704</v>
      </c>
      <c r="F68" s="5">
        <v>8367.7216180201503</v>
      </c>
      <c r="G68" t="s">
        <v>35</v>
      </c>
      <c r="H68">
        <v>13</v>
      </c>
      <c r="I68" s="1">
        <v>17</v>
      </c>
      <c r="J68">
        <v>19</v>
      </c>
      <c r="K68">
        <v>8</v>
      </c>
      <c r="L68" s="3" t="s">
        <v>36</v>
      </c>
      <c r="M68" s="2">
        <v>2.2161427287713602</v>
      </c>
      <c r="N68" t="s">
        <v>44</v>
      </c>
      <c r="O68" t="s">
        <v>45</v>
      </c>
      <c r="P68">
        <v>24</v>
      </c>
      <c r="Q68">
        <v>867</v>
      </c>
      <c r="R68">
        <v>28</v>
      </c>
      <c r="S68">
        <v>42.084436738309897</v>
      </c>
      <c r="T68" t="s">
        <v>46</v>
      </c>
      <c r="U68" s="4">
        <v>3.44806328834026</v>
      </c>
      <c r="V68" t="s">
        <v>31</v>
      </c>
      <c r="W68" t="s">
        <v>48</v>
      </c>
      <c r="X68">
        <v>393.84334857842703</v>
      </c>
      <c r="Y68" s="2">
        <f>Table1[[#This Row],[Revenue generated]]-Table1[[#This Row],[Manufacturing costs]]-Table1[[#This Row],[Shipping costs]]</f>
        <v>8323.4210385530678</v>
      </c>
      <c r="Z68" s="4">
        <f t="shared" si="2"/>
        <v>0.99470577757131884</v>
      </c>
    </row>
    <row r="69" spans="1:26" x14ac:dyDescent="0.3">
      <c r="A69" s="3" t="s">
        <v>33</v>
      </c>
      <c r="B69" s="3" t="s">
        <v>121</v>
      </c>
      <c r="C69" s="2">
        <v>87.755432354001002</v>
      </c>
      <c r="D69" s="1">
        <v>16</v>
      </c>
      <c r="E69" s="1">
        <v>513</v>
      </c>
      <c r="F69" s="5">
        <v>9473.7980325083299</v>
      </c>
      <c r="G69" t="s">
        <v>38</v>
      </c>
      <c r="H69">
        <v>12</v>
      </c>
      <c r="I69" s="1">
        <v>9</v>
      </c>
      <c r="J69">
        <v>71</v>
      </c>
      <c r="K69">
        <v>9</v>
      </c>
      <c r="L69" s="3" t="s">
        <v>43</v>
      </c>
      <c r="M69" s="2">
        <v>9.1478115447106294</v>
      </c>
      <c r="N69" t="s">
        <v>39</v>
      </c>
      <c r="O69" t="s">
        <v>29</v>
      </c>
      <c r="P69">
        <v>10</v>
      </c>
      <c r="Q69">
        <v>198</v>
      </c>
      <c r="R69">
        <v>11</v>
      </c>
      <c r="S69">
        <v>7.0578761469782298</v>
      </c>
      <c r="T69" t="s">
        <v>64</v>
      </c>
      <c r="U69" s="4">
        <v>0.131955444311814</v>
      </c>
      <c r="V69" t="s">
        <v>56</v>
      </c>
      <c r="W69" t="s">
        <v>41</v>
      </c>
      <c r="X69">
        <v>169.27180138478599</v>
      </c>
      <c r="Y69" s="2">
        <f>Table1[[#This Row],[Revenue generated]]-Table1[[#This Row],[Manufacturing costs]]-Table1[[#This Row],[Shipping costs]]</f>
        <v>9457.5923448166413</v>
      </c>
      <c r="Z69" s="4">
        <f t="shared" si="2"/>
        <v>0.99828942018437794</v>
      </c>
    </row>
    <row r="70" spans="1:26" x14ac:dyDescent="0.3">
      <c r="A70" s="3" t="s">
        <v>24</v>
      </c>
      <c r="B70" s="3" t="s">
        <v>122</v>
      </c>
      <c r="C70" s="2">
        <v>37.931812382790298</v>
      </c>
      <c r="D70" s="1">
        <v>29</v>
      </c>
      <c r="E70" s="1">
        <v>163</v>
      </c>
      <c r="F70" s="5">
        <v>3550.21843278099</v>
      </c>
      <c r="G70" t="s">
        <v>26</v>
      </c>
      <c r="H70">
        <v>0</v>
      </c>
      <c r="I70" s="1">
        <v>8</v>
      </c>
      <c r="J70">
        <v>58</v>
      </c>
      <c r="K70">
        <v>8</v>
      </c>
      <c r="L70" s="3" t="s">
        <v>27</v>
      </c>
      <c r="M70" s="2">
        <v>1.19425186488499</v>
      </c>
      <c r="N70" t="s">
        <v>61</v>
      </c>
      <c r="O70" t="s">
        <v>53</v>
      </c>
      <c r="P70">
        <v>2</v>
      </c>
      <c r="Q70">
        <v>375</v>
      </c>
      <c r="R70">
        <v>18</v>
      </c>
      <c r="S70">
        <v>97.113581563462205</v>
      </c>
      <c r="T70" t="s">
        <v>46</v>
      </c>
      <c r="U70" s="4">
        <v>1.9834678721741801</v>
      </c>
      <c r="V70" t="s">
        <v>47</v>
      </c>
      <c r="W70" t="s">
        <v>48</v>
      </c>
      <c r="X70">
        <v>299.70630311810299</v>
      </c>
      <c r="Y70" s="2">
        <f>Table1[[#This Row],[Revenue generated]]-Table1[[#This Row],[Manufacturing costs]]-Table1[[#This Row],[Shipping costs]]</f>
        <v>3451.9105993526432</v>
      </c>
      <c r="Z70" s="4">
        <f t="shared" si="2"/>
        <v>0.97230935637068971</v>
      </c>
    </row>
    <row r="71" spans="1:26" x14ac:dyDescent="0.3">
      <c r="A71" s="3" t="s">
        <v>33</v>
      </c>
      <c r="B71" s="3" t="s">
        <v>123</v>
      </c>
      <c r="C71" s="2">
        <v>54.865528517069698</v>
      </c>
      <c r="D71" s="1">
        <v>62</v>
      </c>
      <c r="E71" s="1">
        <v>511</v>
      </c>
      <c r="F71" s="5">
        <v>1752.3810874841199</v>
      </c>
      <c r="G71" t="s">
        <v>26</v>
      </c>
      <c r="H71">
        <v>95</v>
      </c>
      <c r="I71" s="1">
        <v>1</v>
      </c>
      <c r="J71">
        <v>27</v>
      </c>
      <c r="K71">
        <v>3</v>
      </c>
      <c r="L71" s="3" t="s">
        <v>27</v>
      </c>
      <c r="M71" s="2">
        <v>9.7052867901203399</v>
      </c>
      <c r="N71" t="s">
        <v>52</v>
      </c>
      <c r="O71" t="s">
        <v>45</v>
      </c>
      <c r="P71">
        <v>9</v>
      </c>
      <c r="Q71">
        <v>862</v>
      </c>
      <c r="R71">
        <v>7</v>
      </c>
      <c r="S71">
        <v>77.627765812748095</v>
      </c>
      <c r="T71" t="s">
        <v>30</v>
      </c>
      <c r="U71" s="4">
        <v>1.3623879886490999</v>
      </c>
      <c r="V71" t="s">
        <v>40</v>
      </c>
      <c r="W71" t="s">
        <v>48</v>
      </c>
      <c r="X71">
        <v>207.66320620857499</v>
      </c>
      <c r="Y71" s="2">
        <f>Table1[[#This Row],[Revenue generated]]-Table1[[#This Row],[Manufacturing costs]]-Table1[[#This Row],[Shipping costs]]</f>
        <v>1665.0480348812516</v>
      </c>
      <c r="Z71" s="4">
        <f t="shared" si="2"/>
        <v>0.95016320751997407</v>
      </c>
    </row>
    <row r="72" spans="1:26" x14ac:dyDescent="0.3">
      <c r="A72" s="3" t="s">
        <v>24</v>
      </c>
      <c r="B72" s="3" t="s">
        <v>124</v>
      </c>
      <c r="C72" s="2">
        <v>47.914541824058702</v>
      </c>
      <c r="D72" s="1">
        <v>90</v>
      </c>
      <c r="E72" s="1">
        <v>32</v>
      </c>
      <c r="F72" s="5">
        <v>7014.8879872033804</v>
      </c>
      <c r="G72" t="s">
        <v>35</v>
      </c>
      <c r="H72">
        <v>10</v>
      </c>
      <c r="I72" s="1">
        <v>12</v>
      </c>
      <c r="J72">
        <v>22</v>
      </c>
      <c r="K72">
        <v>4</v>
      </c>
      <c r="L72" s="3" t="s">
        <v>27</v>
      </c>
      <c r="M72" s="2">
        <v>6.3157177546007199</v>
      </c>
      <c r="N72" t="s">
        <v>39</v>
      </c>
      <c r="O72" t="s">
        <v>53</v>
      </c>
      <c r="P72">
        <v>22</v>
      </c>
      <c r="Q72">
        <v>775</v>
      </c>
      <c r="R72">
        <v>16</v>
      </c>
      <c r="S72">
        <v>11.440781823761199</v>
      </c>
      <c r="T72" t="s">
        <v>64</v>
      </c>
      <c r="U72" s="4">
        <v>1.8305755986122301</v>
      </c>
      <c r="V72" t="s">
        <v>31</v>
      </c>
      <c r="W72" t="s">
        <v>41</v>
      </c>
      <c r="X72">
        <v>183.27289874871099</v>
      </c>
      <c r="Y72" s="2">
        <f>Table1[[#This Row],[Revenue generated]]-Table1[[#This Row],[Manufacturing costs]]-Table1[[#This Row],[Shipping costs]]</f>
        <v>6997.1314876250181</v>
      </c>
      <c r="Z72" s="4">
        <f t="shared" si="2"/>
        <v>0.99746874082512027</v>
      </c>
    </row>
    <row r="73" spans="1:26" x14ac:dyDescent="0.3">
      <c r="A73" s="3" t="s">
        <v>57</v>
      </c>
      <c r="B73" s="3" t="s">
        <v>125</v>
      </c>
      <c r="C73" s="2">
        <v>6.3815331627479601</v>
      </c>
      <c r="D73" s="1">
        <v>14</v>
      </c>
      <c r="E73" s="1">
        <v>637</v>
      </c>
      <c r="F73" s="5">
        <v>8180.3370854254399</v>
      </c>
      <c r="G73" t="s">
        <v>35</v>
      </c>
      <c r="H73">
        <v>76</v>
      </c>
      <c r="I73" s="1">
        <v>2</v>
      </c>
      <c r="J73">
        <v>26</v>
      </c>
      <c r="K73">
        <v>6</v>
      </c>
      <c r="L73" s="3" t="s">
        <v>36</v>
      </c>
      <c r="M73" s="2">
        <v>9.2281903170525101</v>
      </c>
      <c r="N73" t="s">
        <v>61</v>
      </c>
      <c r="O73" t="s">
        <v>53</v>
      </c>
      <c r="P73">
        <v>2</v>
      </c>
      <c r="Q73">
        <v>258</v>
      </c>
      <c r="R73">
        <v>10</v>
      </c>
      <c r="S73">
        <v>30.661677477859499</v>
      </c>
      <c r="T73" t="s">
        <v>30</v>
      </c>
      <c r="U73" s="4">
        <v>2.07875060787496</v>
      </c>
      <c r="V73" t="s">
        <v>31</v>
      </c>
      <c r="W73" t="s">
        <v>48</v>
      </c>
      <c r="X73">
        <v>405.167067888855</v>
      </c>
      <c r="Y73" s="2">
        <f>Table1[[#This Row],[Revenue generated]]-Table1[[#This Row],[Manufacturing costs]]-Table1[[#This Row],[Shipping costs]]</f>
        <v>8140.447217630528</v>
      </c>
      <c r="Z73" s="4">
        <f t="shared" si="2"/>
        <v>0.99512368899003167</v>
      </c>
    </row>
    <row r="74" spans="1:26" x14ac:dyDescent="0.3">
      <c r="A74" s="3" t="s">
        <v>57</v>
      </c>
      <c r="B74" s="3" t="s">
        <v>126</v>
      </c>
      <c r="C74" s="2">
        <v>90.204427520528</v>
      </c>
      <c r="D74" s="1">
        <v>88</v>
      </c>
      <c r="E74" s="1">
        <v>478</v>
      </c>
      <c r="F74" s="5">
        <v>2633.1219813122498</v>
      </c>
      <c r="G74" t="s">
        <v>26</v>
      </c>
      <c r="H74">
        <v>57</v>
      </c>
      <c r="I74" s="1">
        <v>29</v>
      </c>
      <c r="J74">
        <v>77</v>
      </c>
      <c r="K74">
        <v>9</v>
      </c>
      <c r="L74" s="3" t="s">
        <v>36</v>
      </c>
      <c r="M74" s="2">
        <v>6.5996141596895397</v>
      </c>
      <c r="N74" t="s">
        <v>39</v>
      </c>
      <c r="O74" t="s">
        <v>53</v>
      </c>
      <c r="P74">
        <v>21</v>
      </c>
      <c r="Q74">
        <v>152</v>
      </c>
      <c r="R74">
        <v>11</v>
      </c>
      <c r="S74">
        <v>55.760492895244198</v>
      </c>
      <c r="T74" t="s">
        <v>30</v>
      </c>
      <c r="U74" s="4">
        <v>3.2133296074383</v>
      </c>
      <c r="V74" t="s">
        <v>47</v>
      </c>
      <c r="W74" t="s">
        <v>32</v>
      </c>
      <c r="X74">
        <v>677.94456984618296</v>
      </c>
      <c r="Y74" s="2">
        <f>Table1[[#This Row],[Revenue generated]]-Table1[[#This Row],[Manufacturing costs]]-Table1[[#This Row],[Shipping costs]]</f>
        <v>2570.7618742573159</v>
      </c>
      <c r="Z74" s="4">
        <f t="shared" si="2"/>
        <v>0.97631704588791746</v>
      </c>
    </row>
    <row r="75" spans="1:26" x14ac:dyDescent="0.3">
      <c r="A75" s="3" t="s">
        <v>57</v>
      </c>
      <c r="B75" s="3" t="s">
        <v>127</v>
      </c>
      <c r="C75" s="2">
        <v>83.851017681304597</v>
      </c>
      <c r="D75" s="1">
        <v>41</v>
      </c>
      <c r="E75" s="1">
        <v>375</v>
      </c>
      <c r="F75" s="5">
        <v>7910.8869161406801</v>
      </c>
      <c r="G75" t="s">
        <v>55</v>
      </c>
      <c r="H75">
        <v>17</v>
      </c>
      <c r="I75" s="1">
        <v>25</v>
      </c>
      <c r="J75">
        <v>66</v>
      </c>
      <c r="K75">
        <v>5</v>
      </c>
      <c r="L75" s="3" t="s">
        <v>27</v>
      </c>
      <c r="M75" s="2">
        <v>1.5129368369160701</v>
      </c>
      <c r="N75" t="s">
        <v>52</v>
      </c>
      <c r="O75" t="s">
        <v>62</v>
      </c>
      <c r="P75">
        <v>13</v>
      </c>
      <c r="Q75">
        <v>444</v>
      </c>
      <c r="R75">
        <v>4</v>
      </c>
      <c r="S75">
        <v>46.870238797617098</v>
      </c>
      <c r="T75" t="s">
        <v>46</v>
      </c>
      <c r="U75" s="4">
        <v>4.6205460645137002</v>
      </c>
      <c r="V75" t="s">
        <v>31</v>
      </c>
      <c r="W75" t="s">
        <v>48</v>
      </c>
      <c r="X75">
        <v>866.472800129657</v>
      </c>
      <c r="Y75" s="2">
        <f>Table1[[#This Row],[Revenue generated]]-Table1[[#This Row],[Manufacturing costs]]-Table1[[#This Row],[Shipping costs]]</f>
        <v>7862.5037405061466</v>
      </c>
      <c r="Z75" s="4">
        <f t="shared" si="2"/>
        <v>0.99388397582377053</v>
      </c>
    </row>
    <row r="76" spans="1:26" x14ac:dyDescent="0.3">
      <c r="A76" s="3" t="s">
        <v>24</v>
      </c>
      <c r="B76" s="3" t="s">
        <v>128</v>
      </c>
      <c r="C76" s="2">
        <v>3.1700114135661499</v>
      </c>
      <c r="D76" s="1">
        <v>64</v>
      </c>
      <c r="E76" s="1">
        <v>904</v>
      </c>
      <c r="F76" s="5">
        <v>5709.9452959692799</v>
      </c>
      <c r="G76" t="s">
        <v>35</v>
      </c>
      <c r="H76">
        <v>41</v>
      </c>
      <c r="I76" s="1">
        <v>6</v>
      </c>
      <c r="J76">
        <v>1</v>
      </c>
      <c r="K76">
        <v>5</v>
      </c>
      <c r="L76" s="3" t="s">
        <v>36</v>
      </c>
      <c r="M76" s="2">
        <v>5.2376546500374399</v>
      </c>
      <c r="N76" t="s">
        <v>52</v>
      </c>
      <c r="O76" t="s">
        <v>50</v>
      </c>
      <c r="P76">
        <v>1</v>
      </c>
      <c r="Q76">
        <v>919</v>
      </c>
      <c r="R76">
        <v>9</v>
      </c>
      <c r="S76">
        <v>80.580852156447804</v>
      </c>
      <c r="T76" t="s">
        <v>46</v>
      </c>
      <c r="U76" s="4">
        <v>0.39661272410993498</v>
      </c>
      <c r="V76" t="s">
        <v>47</v>
      </c>
      <c r="W76" t="s">
        <v>48</v>
      </c>
      <c r="X76">
        <v>341.55265678322297</v>
      </c>
      <c r="Y76" s="2">
        <f>Table1[[#This Row],[Revenue generated]]-Table1[[#This Row],[Manufacturing costs]]-Table1[[#This Row],[Shipping costs]]</f>
        <v>5624.1267891627949</v>
      </c>
      <c r="Z76" s="4">
        <f t="shared" si="2"/>
        <v>0.98497034518578219</v>
      </c>
    </row>
    <row r="77" spans="1:26" x14ac:dyDescent="0.3">
      <c r="A77" s="3" t="s">
        <v>33</v>
      </c>
      <c r="B77" s="3" t="s">
        <v>129</v>
      </c>
      <c r="C77" s="2">
        <v>92.996884233970604</v>
      </c>
      <c r="D77" s="1">
        <v>29</v>
      </c>
      <c r="E77" s="1">
        <v>106</v>
      </c>
      <c r="F77" s="5">
        <v>1889.07358977933</v>
      </c>
      <c r="G77" t="s">
        <v>26</v>
      </c>
      <c r="H77">
        <v>16</v>
      </c>
      <c r="I77" s="1">
        <v>20</v>
      </c>
      <c r="J77">
        <v>56</v>
      </c>
      <c r="K77">
        <v>10</v>
      </c>
      <c r="L77" s="3" t="s">
        <v>43</v>
      </c>
      <c r="M77" s="2">
        <v>2.47389776104546</v>
      </c>
      <c r="N77" t="s">
        <v>39</v>
      </c>
      <c r="O77" t="s">
        <v>62</v>
      </c>
      <c r="P77">
        <v>25</v>
      </c>
      <c r="Q77">
        <v>759</v>
      </c>
      <c r="R77">
        <v>11</v>
      </c>
      <c r="S77">
        <v>48.064782640006499</v>
      </c>
      <c r="T77" t="s">
        <v>64</v>
      </c>
      <c r="U77" s="4">
        <v>2.0300690886687498</v>
      </c>
      <c r="V77" t="s">
        <v>40</v>
      </c>
      <c r="W77" t="s">
        <v>41</v>
      </c>
      <c r="X77">
        <v>873.12964801765099</v>
      </c>
      <c r="Y77" s="2">
        <f>Table1[[#This Row],[Revenue generated]]-Table1[[#This Row],[Manufacturing costs]]-Table1[[#This Row],[Shipping costs]]</f>
        <v>1838.5349093782779</v>
      </c>
      <c r="Z77" s="4">
        <f t="shared" si="2"/>
        <v>0.97324684402212425</v>
      </c>
    </row>
    <row r="78" spans="1:26" x14ac:dyDescent="0.3">
      <c r="A78" s="3" t="s">
        <v>24</v>
      </c>
      <c r="B78" s="3" t="s">
        <v>130</v>
      </c>
      <c r="C78" s="2">
        <v>69.108799547430294</v>
      </c>
      <c r="D78" s="1">
        <v>23</v>
      </c>
      <c r="E78" s="1">
        <v>241</v>
      </c>
      <c r="F78" s="5">
        <v>5328.3759842977497</v>
      </c>
      <c r="G78" t="s">
        <v>55</v>
      </c>
      <c r="H78">
        <v>38</v>
      </c>
      <c r="I78" s="1">
        <v>1</v>
      </c>
      <c r="J78">
        <v>22</v>
      </c>
      <c r="K78">
        <v>10</v>
      </c>
      <c r="L78" s="3" t="s">
        <v>36</v>
      </c>
      <c r="M78" s="2">
        <v>7.0545383368369201</v>
      </c>
      <c r="N78" t="s">
        <v>61</v>
      </c>
      <c r="O78" t="s">
        <v>53</v>
      </c>
      <c r="P78">
        <v>25</v>
      </c>
      <c r="Q78">
        <v>985</v>
      </c>
      <c r="R78">
        <v>24</v>
      </c>
      <c r="S78">
        <v>64.323597795600193</v>
      </c>
      <c r="T78" t="s">
        <v>30</v>
      </c>
      <c r="U78" s="4">
        <v>2.1800374515822099</v>
      </c>
      <c r="V78" t="s">
        <v>47</v>
      </c>
      <c r="W78" t="s">
        <v>48</v>
      </c>
      <c r="X78">
        <v>997.41345013319403</v>
      </c>
      <c r="Y78" s="2">
        <f>Table1[[#This Row],[Revenue generated]]-Table1[[#This Row],[Manufacturing costs]]-Table1[[#This Row],[Shipping costs]]</f>
        <v>5256.9978481653125</v>
      </c>
      <c r="Z78" s="4">
        <f t="shared" si="2"/>
        <v>0.98660414799128626</v>
      </c>
    </row>
    <row r="79" spans="1:26" x14ac:dyDescent="0.3">
      <c r="A79" s="3" t="s">
        <v>24</v>
      </c>
      <c r="B79" s="3" t="s">
        <v>131</v>
      </c>
      <c r="C79" s="2">
        <v>57.449742958971399</v>
      </c>
      <c r="D79" s="1">
        <v>14</v>
      </c>
      <c r="E79" s="1">
        <v>359</v>
      </c>
      <c r="F79" s="5">
        <v>2483.7601775427902</v>
      </c>
      <c r="G79" t="s">
        <v>38</v>
      </c>
      <c r="H79">
        <v>96</v>
      </c>
      <c r="I79" s="1">
        <v>28</v>
      </c>
      <c r="J79">
        <v>57</v>
      </c>
      <c r="K79">
        <v>4</v>
      </c>
      <c r="L79" s="3" t="s">
        <v>27</v>
      </c>
      <c r="M79" s="2">
        <v>6.7809466256178901</v>
      </c>
      <c r="N79" t="s">
        <v>39</v>
      </c>
      <c r="O79" t="s">
        <v>45</v>
      </c>
      <c r="P79">
        <v>26</v>
      </c>
      <c r="Q79">
        <v>334</v>
      </c>
      <c r="R79">
        <v>5</v>
      </c>
      <c r="S79">
        <v>42.952444748991802</v>
      </c>
      <c r="T79" t="s">
        <v>64</v>
      </c>
      <c r="U79" s="4">
        <v>3.0551418183075398</v>
      </c>
      <c r="V79" t="s">
        <v>31</v>
      </c>
      <c r="W79" t="s">
        <v>32</v>
      </c>
      <c r="X79">
        <v>852.56809891984994</v>
      </c>
      <c r="Y79" s="2">
        <f>Table1[[#This Row],[Revenue generated]]-Table1[[#This Row],[Manufacturing costs]]-Table1[[#This Row],[Shipping costs]]</f>
        <v>2434.0267861681805</v>
      </c>
      <c r="Z79" s="4">
        <f t="shared" si="2"/>
        <v>0.9799765726883457</v>
      </c>
    </row>
    <row r="80" spans="1:26" x14ac:dyDescent="0.3">
      <c r="A80" s="3" t="s">
        <v>24</v>
      </c>
      <c r="B80" s="3" t="s">
        <v>132</v>
      </c>
      <c r="C80" s="2">
        <v>6.30688317611191</v>
      </c>
      <c r="D80" s="1">
        <v>50</v>
      </c>
      <c r="E80" s="1">
        <v>946</v>
      </c>
      <c r="F80" s="5">
        <v>1292.45841793775</v>
      </c>
      <c r="G80" t="s">
        <v>38</v>
      </c>
      <c r="H80">
        <v>5</v>
      </c>
      <c r="I80" s="1">
        <v>4</v>
      </c>
      <c r="J80">
        <v>51</v>
      </c>
      <c r="K80">
        <v>5</v>
      </c>
      <c r="L80" s="3" t="s">
        <v>27</v>
      </c>
      <c r="M80" s="2">
        <v>8.4670497708619905</v>
      </c>
      <c r="N80" t="s">
        <v>44</v>
      </c>
      <c r="O80" t="s">
        <v>29</v>
      </c>
      <c r="P80">
        <v>25</v>
      </c>
      <c r="Q80">
        <v>858</v>
      </c>
      <c r="R80">
        <v>21</v>
      </c>
      <c r="S80">
        <v>71.126514720403307</v>
      </c>
      <c r="T80" t="s">
        <v>30</v>
      </c>
      <c r="U80" s="4">
        <v>4.0968813324704501</v>
      </c>
      <c r="V80" t="s">
        <v>56</v>
      </c>
      <c r="W80" t="s">
        <v>41</v>
      </c>
      <c r="X80">
        <v>323.59220343132199</v>
      </c>
      <c r="Y80" s="2">
        <f>Table1[[#This Row],[Revenue generated]]-Table1[[#This Row],[Manufacturing costs]]-Table1[[#This Row],[Shipping costs]]</f>
        <v>1212.8648534464846</v>
      </c>
      <c r="Z80" s="4">
        <f t="shared" si="2"/>
        <v>0.93841692437713775</v>
      </c>
    </row>
    <row r="81" spans="1:26" x14ac:dyDescent="0.3">
      <c r="A81" s="3" t="s">
        <v>24</v>
      </c>
      <c r="B81" s="3" t="s">
        <v>133</v>
      </c>
      <c r="C81" s="2">
        <v>57.057031221103202</v>
      </c>
      <c r="D81" s="1">
        <v>56</v>
      </c>
      <c r="E81" s="1">
        <v>198</v>
      </c>
      <c r="F81" s="5">
        <v>7888.7232684270803</v>
      </c>
      <c r="G81" t="s">
        <v>26</v>
      </c>
      <c r="H81">
        <v>31</v>
      </c>
      <c r="I81" s="1">
        <v>25</v>
      </c>
      <c r="J81">
        <v>20</v>
      </c>
      <c r="K81">
        <v>1</v>
      </c>
      <c r="L81" s="3" t="s">
        <v>27</v>
      </c>
      <c r="M81" s="2">
        <v>6.49632536429504</v>
      </c>
      <c r="N81" t="s">
        <v>28</v>
      </c>
      <c r="O81" t="s">
        <v>53</v>
      </c>
      <c r="P81">
        <v>5</v>
      </c>
      <c r="Q81">
        <v>228</v>
      </c>
      <c r="R81">
        <v>12</v>
      </c>
      <c r="S81">
        <v>57.870902924036201</v>
      </c>
      <c r="T81" t="s">
        <v>30</v>
      </c>
      <c r="U81" s="4">
        <v>0.16587162748060799</v>
      </c>
      <c r="V81" t="s">
        <v>40</v>
      </c>
      <c r="W81" t="s">
        <v>41</v>
      </c>
      <c r="X81">
        <v>351.50421933503799</v>
      </c>
      <c r="Y81" s="2">
        <f>Table1[[#This Row],[Revenue generated]]-Table1[[#This Row],[Manufacturing costs]]-Table1[[#This Row],[Shipping costs]]</f>
        <v>7824.3560401387485</v>
      </c>
      <c r="Z81" s="4">
        <f t="shared" si="2"/>
        <v>0.99184060257938722</v>
      </c>
    </row>
    <row r="82" spans="1:26" x14ac:dyDescent="0.3">
      <c r="A82" s="3" t="s">
        <v>33</v>
      </c>
      <c r="B82" s="3" t="s">
        <v>134</v>
      </c>
      <c r="C82" s="2">
        <v>91.128318350444303</v>
      </c>
      <c r="D82" s="1">
        <v>75</v>
      </c>
      <c r="E82" s="1">
        <v>872</v>
      </c>
      <c r="F82" s="5">
        <v>8651.67268298206</v>
      </c>
      <c r="G82" t="s">
        <v>38</v>
      </c>
      <c r="H82">
        <v>39</v>
      </c>
      <c r="I82" s="1">
        <v>14</v>
      </c>
      <c r="J82">
        <v>41</v>
      </c>
      <c r="K82">
        <v>2</v>
      </c>
      <c r="L82" s="3" t="s">
        <v>43</v>
      </c>
      <c r="M82" s="2">
        <v>2.8331846794189701</v>
      </c>
      <c r="N82" t="s">
        <v>28</v>
      </c>
      <c r="O82" t="s">
        <v>62</v>
      </c>
      <c r="P82">
        <v>8</v>
      </c>
      <c r="Q82">
        <v>202</v>
      </c>
      <c r="R82">
        <v>5</v>
      </c>
      <c r="S82">
        <v>76.961228023819999</v>
      </c>
      <c r="T82" t="s">
        <v>46</v>
      </c>
      <c r="U82" s="4">
        <v>2.8496621985053299</v>
      </c>
      <c r="V82" t="s">
        <v>56</v>
      </c>
      <c r="W82" t="s">
        <v>32</v>
      </c>
      <c r="X82">
        <v>787.77985049434403</v>
      </c>
      <c r="Y82" s="2">
        <f>Table1[[#This Row],[Revenue generated]]-Table1[[#This Row],[Manufacturing costs]]-Table1[[#This Row],[Shipping costs]]</f>
        <v>8571.8782702788212</v>
      </c>
      <c r="Z82" s="4">
        <f t="shared" si="2"/>
        <v>0.99077699589118817</v>
      </c>
    </row>
    <row r="83" spans="1:26" x14ac:dyDescent="0.3">
      <c r="A83" s="3" t="s">
        <v>24</v>
      </c>
      <c r="B83" s="3" t="s">
        <v>135</v>
      </c>
      <c r="C83" s="2">
        <v>72.819206930318202</v>
      </c>
      <c r="D83" s="1">
        <v>9</v>
      </c>
      <c r="E83" s="1">
        <v>774</v>
      </c>
      <c r="F83" s="5">
        <v>4384.4134000458598</v>
      </c>
      <c r="G83" t="s">
        <v>38</v>
      </c>
      <c r="H83">
        <v>48</v>
      </c>
      <c r="I83" s="1">
        <v>6</v>
      </c>
      <c r="J83">
        <v>8</v>
      </c>
      <c r="K83">
        <v>5</v>
      </c>
      <c r="L83" s="3" t="s">
        <v>27</v>
      </c>
      <c r="M83" s="2">
        <v>4.0662775015120403</v>
      </c>
      <c r="N83" t="s">
        <v>28</v>
      </c>
      <c r="O83" t="s">
        <v>50</v>
      </c>
      <c r="P83">
        <v>28</v>
      </c>
      <c r="Q83">
        <v>698</v>
      </c>
      <c r="R83">
        <v>1</v>
      </c>
      <c r="S83">
        <v>19.789592941903599</v>
      </c>
      <c r="T83" t="s">
        <v>30</v>
      </c>
      <c r="U83" s="4">
        <v>2.54754712154871</v>
      </c>
      <c r="V83" t="s">
        <v>47</v>
      </c>
      <c r="W83" t="s">
        <v>32</v>
      </c>
      <c r="X83">
        <v>276.77833594679799</v>
      </c>
      <c r="Y83" s="2">
        <f>Table1[[#This Row],[Revenue generated]]-Table1[[#This Row],[Manufacturing costs]]-Table1[[#This Row],[Shipping costs]]</f>
        <v>4360.5575296024444</v>
      </c>
      <c r="Z83" s="4">
        <f t="shared" si="2"/>
        <v>0.9945589367911416</v>
      </c>
    </row>
    <row r="84" spans="1:26" x14ac:dyDescent="0.3">
      <c r="A84" s="3" t="s">
        <v>33</v>
      </c>
      <c r="B84" s="3" t="s">
        <v>136</v>
      </c>
      <c r="C84" s="2">
        <v>17.034930739467899</v>
      </c>
      <c r="D84" s="1">
        <v>13</v>
      </c>
      <c r="E84" s="1">
        <v>336</v>
      </c>
      <c r="F84" s="5">
        <v>2943.3818676094502</v>
      </c>
      <c r="G84" t="s">
        <v>38</v>
      </c>
      <c r="H84">
        <v>42</v>
      </c>
      <c r="I84" s="1">
        <v>19</v>
      </c>
      <c r="J84">
        <v>72</v>
      </c>
      <c r="K84">
        <v>1</v>
      </c>
      <c r="L84" s="3" t="s">
        <v>36</v>
      </c>
      <c r="M84" s="2">
        <v>4.7081818735419301</v>
      </c>
      <c r="N84" t="s">
        <v>61</v>
      </c>
      <c r="O84" t="s">
        <v>29</v>
      </c>
      <c r="P84">
        <v>6</v>
      </c>
      <c r="Q84">
        <v>955</v>
      </c>
      <c r="R84">
        <v>26</v>
      </c>
      <c r="S84">
        <v>4.4652784349432402</v>
      </c>
      <c r="T84" t="s">
        <v>30</v>
      </c>
      <c r="U84" s="4">
        <v>4.1378770486223502</v>
      </c>
      <c r="V84" t="s">
        <v>31</v>
      </c>
      <c r="W84" t="s">
        <v>41</v>
      </c>
      <c r="X84">
        <v>589.97855562804</v>
      </c>
      <c r="Y84" s="2">
        <f>Table1[[#This Row],[Revenue generated]]-Table1[[#This Row],[Manufacturing costs]]-Table1[[#This Row],[Shipping costs]]</f>
        <v>2934.2084073009651</v>
      </c>
      <c r="Z84" s="4">
        <f t="shared" si="2"/>
        <v>0.99688336046048431</v>
      </c>
    </row>
    <row r="85" spans="1:26" x14ac:dyDescent="0.3">
      <c r="A85" s="3" t="s">
        <v>24</v>
      </c>
      <c r="B85" s="3" t="s">
        <v>137</v>
      </c>
      <c r="C85" s="2">
        <v>68.911246211606297</v>
      </c>
      <c r="D85" s="1">
        <v>82</v>
      </c>
      <c r="E85" s="1">
        <v>663</v>
      </c>
      <c r="F85" s="5">
        <v>2411.7546321104901</v>
      </c>
      <c r="G85" t="s">
        <v>38</v>
      </c>
      <c r="H85">
        <v>65</v>
      </c>
      <c r="I85" s="1">
        <v>24</v>
      </c>
      <c r="J85">
        <v>7</v>
      </c>
      <c r="K85">
        <v>8</v>
      </c>
      <c r="L85" s="3" t="s">
        <v>27</v>
      </c>
      <c r="M85" s="2">
        <v>4.94983957799694</v>
      </c>
      <c r="N85" t="s">
        <v>39</v>
      </c>
      <c r="O85" t="s">
        <v>53</v>
      </c>
      <c r="P85">
        <v>20</v>
      </c>
      <c r="Q85">
        <v>443</v>
      </c>
      <c r="R85">
        <v>5</v>
      </c>
      <c r="S85">
        <v>97.730593800533001</v>
      </c>
      <c r="T85" t="s">
        <v>46</v>
      </c>
      <c r="U85" s="4">
        <v>0.77300613406724705</v>
      </c>
      <c r="V85" t="s">
        <v>31</v>
      </c>
      <c r="W85" t="s">
        <v>48</v>
      </c>
      <c r="X85">
        <v>682.97101822609295</v>
      </c>
      <c r="Y85" s="2">
        <f>Table1[[#This Row],[Revenue generated]]-Table1[[#This Row],[Manufacturing costs]]-Table1[[#This Row],[Shipping costs]]</f>
        <v>2309.0741987319602</v>
      </c>
      <c r="Z85" s="4">
        <f t="shared" si="2"/>
        <v>0.95742500832737043</v>
      </c>
    </row>
    <row r="86" spans="1:26" x14ac:dyDescent="0.3">
      <c r="A86" s="3" t="s">
        <v>24</v>
      </c>
      <c r="B86" s="3" t="s">
        <v>138</v>
      </c>
      <c r="C86" s="2">
        <v>89.104367292102197</v>
      </c>
      <c r="D86" s="1">
        <v>99</v>
      </c>
      <c r="E86" s="1">
        <v>618</v>
      </c>
      <c r="F86" s="5">
        <v>2048.2900998487098</v>
      </c>
      <c r="G86" t="s">
        <v>38</v>
      </c>
      <c r="H86">
        <v>73</v>
      </c>
      <c r="I86" s="1">
        <v>26</v>
      </c>
      <c r="J86">
        <v>80</v>
      </c>
      <c r="K86">
        <v>10</v>
      </c>
      <c r="L86" s="3" t="s">
        <v>36</v>
      </c>
      <c r="M86" s="2">
        <v>8.3816156249226292</v>
      </c>
      <c r="N86" t="s">
        <v>44</v>
      </c>
      <c r="O86" t="s">
        <v>62</v>
      </c>
      <c r="P86">
        <v>24</v>
      </c>
      <c r="Q86">
        <v>589</v>
      </c>
      <c r="R86">
        <v>22</v>
      </c>
      <c r="S86">
        <v>33.808636513209002</v>
      </c>
      <c r="T86" t="s">
        <v>64</v>
      </c>
      <c r="U86" s="4">
        <v>4.8434565771180402</v>
      </c>
      <c r="V86" t="s">
        <v>40</v>
      </c>
      <c r="W86" t="s">
        <v>32</v>
      </c>
      <c r="X86">
        <v>465.45700596368698</v>
      </c>
      <c r="Y86" s="2">
        <f>Table1[[#This Row],[Revenue generated]]-Table1[[#This Row],[Manufacturing costs]]-Table1[[#This Row],[Shipping costs]]</f>
        <v>2006.0998477105782</v>
      </c>
      <c r="Z86" s="4">
        <f t="shared" si="2"/>
        <v>0.97940220863184957</v>
      </c>
    </row>
    <row r="87" spans="1:26" x14ac:dyDescent="0.3">
      <c r="A87" s="3" t="s">
        <v>57</v>
      </c>
      <c r="B87" s="3" t="s">
        <v>139</v>
      </c>
      <c r="C87" s="2">
        <v>76.962994415193805</v>
      </c>
      <c r="D87" s="1">
        <v>83</v>
      </c>
      <c r="E87" s="1">
        <v>25</v>
      </c>
      <c r="F87" s="5">
        <v>8684.6130592538502</v>
      </c>
      <c r="G87" t="s">
        <v>35</v>
      </c>
      <c r="H87">
        <v>15</v>
      </c>
      <c r="I87" s="1">
        <v>18</v>
      </c>
      <c r="J87">
        <v>66</v>
      </c>
      <c r="K87">
        <v>2</v>
      </c>
      <c r="L87" s="3" t="s">
        <v>43</v>
      </c>
      <c r="M87" s="2">
        <v>8.2491687048717193</v>
      </c>
      <c r="N87" t="s">
        <v>44</v>
      </c>
      <c r="O87" t="s">
        <v>62</v>
      </c>
      <c r="P87">
        <v>4</v>
      </c>
      <c r="Q87">
        <v>211</v>
      </c>
      <c r="R87">
        <v>2</v>
      </c>
      <c r="S87">
        <v>69.929345518672307</v>
      </c>
      <c r="T87" t="s">
        <v>46</v>
      </c>
      <c r="U87" s="4">
        <v>1.3744289997457499</v>
      </c>
      <c r="V87" t="s">
        <v>31</v>
      </c>
      <c r="W87" t="s">
        <v>32</v>
      </c>
      <c r="X87">
        <v>842.68683000464102</v>
      </c>
      <c r="Y87" s="2">
        <f>Table1[[#This Row],[Revenue generated]]-Table1[[#This Row],[Manufacturing costs]]-Table1[[#This Row],[Shipping costs]]</f>
        <v>8606.4345450303063</v>
      </c>
      <c r="Z87" s="4">
        <f t="shared" si="2"/>
        <v>0.99099804289608029</v>
      </c>
    </row>
    <row r="88" spans="1:26" x14ac:dyDescent="0.3">
      <c r="A88" s="3" t="s">
        <v>33</v>
      </c>
      <c r="B88" s="3" t="s">
        <v>140</v>
      </c>
      <c r="C88" s="2">
        <v>19.9981769404042</v>
      </c>
      <c r="D88" s="1">
        <v>18</v>
      </c>
      <c r="E88" s="1">
        <v>223</v>
      </c>
      <c r="F88" s="5">
        <v>1229.59102856498</v>
      </c>
      <c r="G88" t="s">
        <v>38</v>
      </c>
      <c r="H88">
        <v>32</v>
      </c>
      <c r="I88" s="1">
        <v>14</v>
      </c>
      <c r="J88">
        <v>22</v>
      </c>
      <c r="K88">
        <v>6</v>
      </c>
      <c r="L88" s="3" t="s">
        <v>27</v>
      </c>
      <c r="M88" s="2">
        <v>1.4543053101535499</v>
      </c>
      <c r="N88" t="s">
        <v>39</v>
      </c>
      <c r="O88" t="s">
        <v>29</v>
      </c>
      <c r="P88">
        <v>4</v>
      </c>
      <c r="Q88">
        <v>569</v>
      </c>
      <c r="R88">
        <v>18</v>
      </c>
      <c r="S88">
        <v>74.608969995194599</v>
      </c>
      <c r="T88" t="s">
        <v>64</v>
      </c>
      <c r="U88" s="4">
        <v>2.0515129307662399</v>
      </c>
      <c r="V88" t="s">
        <v>47</v>
      </c>
      <c r="W88" t="s">
        <v>48</v>
      </c>
      <c r="X88">
        <v>264.25488983586598</v>
      </c>
      <c r="Y88" s="2">
        <f>Table1[[#This Row],[Revenue generated]]-Table1[[#This Row],[Manufacturing costs]]-Table1[[#This Row],[Shipping costs]]</f>
        <v>1153.5277532596317</v>
      </c>
      <c r="Z88" s="4">
        <f t="shared" si="2"/>
        <v>0.93813937029605732</v>
      </c>
    </row>
    <row r="89" spans="1:26" x14ac:dyDescent="0.3">
      <c r="A89" s="3" t="s">
        <v>24</v>
      </c>
      <c r="B89" s="3" t="s">
        <v>141</v>
      </c>
      <c r="C89" s="2">
        <v>80.414036650355698</v>
      </c>
      <c r="D89" s="1">
        <v>24</v>
      </c>
      <c r="E89" s="1">
        <v>79</v>
      </c>
      <c r="F89" s="5">
        <v>5133.8467010866898</v>
      </c>
      <c r="G89" t="s">
        <v>55</v>
      </c>
      <c r="H89">
        <v>5</v>
      </c>
      <c r="I89" s="1">
        <v>7</v>
      </c>
      <c r="J89">
        <v>55</v>
      </c>
      <c r="K89">
        <v>10</v>
      </c>
      <c r="L89" s="3" t="s">
        <v>36</v>
      </c>
      <c r="M89" s="2">
        <v>6.5758037975485299</v>
      </c>
      <c r="N89" t="s">
        <v>28</v>
      </c>
      <c r="O89" t="s">
        <v>62</v>
      </c>
      <c r="P89">
        <v>27</v>
      </c>
      <c r="Q89">
        <v>523</v>
      </c>
      <c r="R89">
        <v>17</v>
      </c>
      <c r="S89">
        <v>28.696996824143099</v>
      </c>
      <c r="T89" t="s">
        <v>46</v>
      </c>
      <c r="U89" s="4">
        <v>3.6937377878392699</v>
      </c>
      <c r="V89" t="s">
        <v>56</v>
      </c>
      <c r="W89" t="s">
        <v>32</v>
      </c>
      <c r="X89">
        <v>879.35921773492396</v>
      </c>
      <c r="Y89" s="2">
        <f>Table1[[#This Row],[Revenue generated]]-Table1[[#This Row],[Manufacturing costs]]-Table1[[#This Row],[Shipping costs]]</f>
        <v>5098.5739004649986</v>
      </c>
      <c r="Z89" s="4">
        <f t="shared" si="2"/>
        <v>0.99312936231340432</v>
      </c>
    </row>
    <row r="90" spans="1:26" x14ac:dyDescent="0.3">
      <c r="A90" s="3" t="s">
        <v>57</v>
      </c>
      <c r="B90" s="3" t="s">
        <v>142</v>
      </c>
      <c r="C90" s="2">
        <v>75.270406975724995</v>
      </c>
      <c r="D90" s="1">
        <v>58</v>
      </c>
      <c r="E90" s="1">
        <v>737</v>
      </c>
      <c r="F90" s="5">
        <v>9444.7420330629793</v>
      </c>
      <c r="G90" t="s">
        <v>55</v>
      </c>
      <c r="H90">
        <v>60</v>
      </c>
      <c r="I90" s="1">
        <v>18</v>
      </c>
      <c r="J90">
        <v>85</v>
      </c>
      <c r="K90">
        <v>7</v>
      </c>
      <c r="L90" s="3" t="s">
        <v>36</v>
      </c>
      <c r="M90" s="2">
        <v>3.8012531329310701</v>
      </c>
      <c r="N90" t="s">
        <v>61</v>
      </c>
      <c r="O90" t="s">
        <v>29</v>
      </c>
      <c r="P90">
        <v>21</v>
      </c>
      <c r="Q90">
        <v>953</v>
      </c>
      <c r="R90">
        <v>11</v>
      </c>
      <c r="S90">
        <v>68.1849190570411</v>
      </c>
      <c r="T90" t="s">
        <v>30</v>
      </c>
      <c r="U90" s="4">
        <v>0.722204401882931</v>
      </c>
      <c r="V90" t="s">
        <v>56</v>
      </c>
      <c r="W90" t="s">
        <v>48</v>
      </c>
      <c r="X90">
        <v>103.916247960704</v>
      </c>
      <c r="Y90" s="2">
        <f>Table1[[#This Row],[Revenue generated]]-Table1[[#This Row],[Manufacturing costs]]-Table1[[#This Row],[Shipping costs]]</f>
        <v>9372.7558608730069</v>
      </c>
      <c r="Z90" s="4">
        <f t="shared" si="2"/>
        <v>0.99237817486830537</v>
      </c>
    </row>
    <row r="91" spans="1:26" x14ac:dyDescent="0.3">
      <c r="A91" s="3" t="s">
        <v>57</v>
      </c>
      <c r="B91" s="3" t="s">
        <v>143</v>
      </c>
      <c r="C91" s="2">
        <v>97.760085581938597</v>
      </c>
      <c r="D91" s="1">
        <v>10</v>
      </c>
      <c r="E91" s="1">
        <v>134</v>
      </c>
      <c r="F91" s="5">
        <v>5924.6825668532301</v>
      </c>
      <c r="G91" t="s">
        <v>38</v>
      </c>
      <c r="H91">
        <v>90</v>
      </c>
      <c r="I91" s="1">
        <v>1</v>
      </c>
      <c r="J91">
        <v>27</v>
      </c>
      <c r="K91">
        <v>8</v>
      </c>
      <c r="L91" s="3" t="s">
        <v>27</v>
      </c>
      <c r="M91" s="2">
        <v>9.9298162452772498</v>
      </c>
      <c r="N91" t="s">
        <v>39</v>
      </c>
      <c r="O91" t="s">
        <v>45</v>
      </c>
      <c r="P91">
        <v>23</v>
      </c>
      <c r="Q91">
        <v>370</v>
      </c>
      <c r="R91">
        <v>11</v>
      </c>
      <c r="S91">
        <v>46.603873381644398</v>
      </c>
      <c r="T91" t="s">
        <v>30</v>
      </c>
      <c r="U91" s="4">
        <v>1.9076657339590699</v>
      </c>
      <c r="V91" t="s">
        <v>47</v>
      </c>
      <c r="W91" t="s">
        <v>32</v>
      </c>
      <c r="X91">
        <v>517.49997392906005</v>
      </c>
      <c r="Y91" s="2">
        <f>Table1[[#This Row],[Revenue generated]]-Table1[[#This Row],[Manufacturing costs]]-Table1[[#This Row],[Shipping costs]]</f>
        <v>5868.1488772263092</v>
      </c>
      <c r="Z91" s="4">
        <f t="shared" si="2"/>
        <v>0.99045793779008351</v>
      </c>
    </row>
    <row r="92" spans="1:26" x14ac:dyDescent="0.3">
      <c r="A92" s="3" t="s">
        <v>33</v>
      </c>
      <c r="B92" s="3" t="s">
        <v>144</v>
      </c>
      <c r="C92" s="2">
        <v>13.881913501359101</v>
      </c>
      <c r="D92" s="1">
        <v>56</v>
      </c>
      <c r="E92" s="1">
        <v>320</v>
      </c>
      <c r="F92" s="5">
        <v>9592.6335702803099</v>
      </c>
      <c r="G92" t="s">
        <v>26</v>
      </c>
      <c r="H92">
        <v>66</v>
      </c>
      <c r="I92" s="1">
        <v>18</v>
      </c>
      <c r="J92">
        <v>96</v>
      </c>
      <c r="K92">
        <v>7</v>
      </c>
      <c r="L92" s="3" t="s">
        <v>27</v>
      </c>
      <c r="M92" s="2">
        <v>7.6744307081126903</v>
      </c>
      <c r="N92" t="s">
        <v>28</v>
      </c>
      <c r="O92" t="s">
        <v>53</v>
      </c>
      <c r="P92">
        <v>8</v>
      </c>
      <c r="Q92">
        <v>585</v>
      </c>
      <c r="R92">
        <v>8</v>
      </c>
      <c r="S92">
        <v>85.675963335797903</v>
      </c>
      <c r="T92" t="s">
        <v>64</v>
      </c>
      <c r="U92" s="4">
        <v>1.2193822244013801</v>
      </c>
      <c r="V92" t="s">
        <v>47</v>
      </c>
      <c r="W92" t="s">
        <v>32</v>
      </c>
      <c r="X92">
        <v>990.07847250581096</v>
      </c>
      <c r="Y92" s="2">
        <f>Table1[[#This Row],[Revenue generated]]-Table1[[#This Row],[Manufacturing costs]]-Table1[[#This Row],[Shipping costs]]</f>
        <v>9499.2831762363985</v>
      </c>
      <c r="Z92" s="4">
        <f t="shared" si="2"/>
        <v>0.99026853331152698</v>
      </c>
    </row>
    <row r="93" spans="1:26" x14ac:dyDescent="0.3">
      <c r="A93" s="3" t="s">
        <v>57</v>
      </c>
      <c r="B93" s="3" t="s">
        <v>145</v>
      </c>
      <c r="C93" s="2">
        <v>62.111965463961702</v>
      </c>
      <c r="D93" s="1">
        <v>90</v>
      </c>
      <c r="E93" s="1">
        <v>916</v>
      </c>
      <c r="F93" s="5">
        <v>1935.20679350759</v>
      </c>
      <c r="G93" t="s">
        <v>55</v>
      </c>
      <c r="H93">
        <v>98</v>
      </c>
      <c r="I93" s="1">
        <v>22</v>
      </c>
      <c r="J93">
        <v>85</v>
      </c>
      <c r="K93">
        <v>7</v>
      </c>
      <c r="L93" s="3" t="s">
        <v>27</v>
      </c>
      <c r="M93" s="2">
        <v>7.4715140844011403</v>
      </c>
      <c r="N93" t="s">
        <v>52</v>
      </c>
      <c r="O93" t="s">
        <v>50</v>
      </c>
      <c r="P93">
        <v>5</v>
      </c>
      <c r="Q93">
        <v>207</v>
      </c>
      <c r="R93">
        <v>28</v>
      </c>
      <c r="S93">
        <v>39.772882502339897</v>
      </c>
      <c r="T93" t="s">
        <v>30</v>
      </c>
      <c r="U93" s="4">
        <v>0.62600185820939402</v>
      </c>
      <c r="V93" t="s">
        <v>47</v>
      </c>
      <c r="W93" t="s">
        <v>32</v>
      </c>
      <c r="X93">
        <v>996.77831495062298</v>
      </c>
      <c r="Y93" s="2">
        <f>Table1[[#This Row],[Revenue generated]]-Table1[[#This Row],[Manufacturing costs]]-Table1[[#This Row],[Shipping costs]]</f>
        <v>1887.962396920849</v>
      </c>
      <c r="Z93" s="4">
        <f t="shared" si="2"/>
        <v>0.97558690019834526</v>
      </c>
    </row>
    <row r="94" spans="1:26" x14ac:dyDescent="0.3">
      <c r="A94" s="3" t="s">
        <v>57</v>
      </c>
      <c r="B94" s="3" t="s">
        <v>146</v>
      </c>
      <c r="C94" s="2">
        <v>47.714233075820196</v>
      </c>
      <c r="D94" s="1">
        <v>44</v>
      </c>
      <c r="E94" s="1">
        <v>276</v>
      </c>
      <c r="F94" s="5">
        <v>2100.1297546259302</v>
      </c>
      <c r="G94" t="s">
        <v>55</v>
      </c>
      <c r="H94">
        <v>90</v>
      </c>
      <c r="I94" s="1">
        <v>25</v>
      </c>
      <c r="J94">
        <v>10</v>
      </c>
      <c r="K94">
        <v>8</v>
      </c>
      <c r="L94" s="3" t="s">
        <v>27</v>
      </c>
      <c r="M94" s="2">
        <v>4.4695000261236002</v>
      </c>
      <c r="N94" t="s">
        <v>61</v>
      </c>
      <c r="O94" t="s">
        <v>29</v>
      </c>
      <c r="P94">
        <v>4</v>
      </c>
      <c r="Q94">
        <v>671</v>
      </c>
      <c r="R94">
        <v>29</v>
      </c>
      <c r="S94">
        <v>62.612690395614301</v>
      </c>
      <c r="T94" t="s">
        <v>64</v>
      </c>
      <c r="U94" s="4">
        <v>0.33343182522473902</v>
      </c>
      <c r="V94" t="s">
        <v>47</v>
      </c>
      <c r="W94" t="s">
        <v>32</v>
      </c>
      <c r="X94">
        <v>230.092782536762</v>
      </c>
      <c r="Y94" s="2">
        <f>Table1[[#This Row],[Revenue generated]]-Table1[[#This Row],[Manufacturing costs]]-Table1[[#This Row],[Shipping costs]]</f>
        <v>2033.0475642041924</v>
      </c>
      <c r="Z94" s="4">
        <f t="shared" si="2"/>
        <v>0.96805807342428407</v>
      </c>
    </row>
    <row r="95" spans="1:26" x14ac:dyDescent="0.3">
      <c r="A95" s="3" t="s">
        <v>24</v>
      </c>
      <c r="B95" s="3" t="s">
        <v>147</v>
      </c>
      <c r="C95" s="2">
        <v>69.290831002905406</v>
      </c>
      <c r="D95" s="1">
        <v>88</v>
      </c>
      <c r="E95" s="1">
        <v>114</v>
      </c>
      <c r="F95" s="5">
        <v>4531.4021336919004</v>
      </c>
      <c r="G95" t="s">
        <v>38</v>
      </c>
      <c r="H95">
        <v>63</v>
      </c>
      <c r="I95" s="1">
        <v>17</v>
      </c>
      <c r="J95">
        <v>66</v>
      </c>
      <c r="K95">
        <v>1</v>
      </c>
      <c r="L95" s="3" t="s">
        <v>43</v>
      </c>
      <c r="M95" s="2">
        <v>7.00643205900439</v>
      </c>
      <c r="N95" t="s">
        <v>52</v>
      </c>
      <c r="O95" t="s">
        <v>62</v>
      </c>
      <c r="P95">
        <v>21</v>
      </c>
      <c r="Q95">
        <v>824</v>
      </c>
      <c r="R95">
        <v>20</v>
      </c>
      <c r="S95">
        <v>35.633652343343797</v>
      </c>
      <c r="T95" t="s">
        <v>46</v>
      </c>
      <c r="U95" s="4">
        <v>4.1657817954241398</v>
      </c>
      <c r="V95" t="s">
        <v>40</v>
      </c>
      <c r="W95" t="s">
        <v>48</v>
      </c>
      <c r="X95">
        <v>823.52384588815505</v>
      </c>
      <c r="Y95" s="2">
        <f>Table1[[#This Row],[Revenue generated]]-Table1[[#This Row],[Manufacturing costs]]-Table1[[#This Row],[Shipping costs]]</f>
        <v>4488.7620492895521</v>
      </c>
      <c r="Z95" s="4">
        <f t="shared" si="2"/>
        <v>0.99059009040815194</v>
      </c>
    </row>
    <row r="96" spans="1:26" x14ac:dyDescent="0.3">
      <c r="A96" s="3" t="s">
        <v>57</v>
      </c>
      <c r="B96" s="3" t="s">
        <v>148</v>
      </c>
      <c r="C96" s="2">
        <v>3.0376887246314102</v>
      </c>
      <c r="D96" s="1">
        <v>97</v>
      </c>
      <c r="E96" s="1">
        <v>987</v>
      </c>
      <c r="F96" s="5">
        <v>7888.3565466618702</v>
      </c>
      <c r="G96" t="s">
        <v>38</v>
      </c>
      <c r="H96">
        <v>77</v>
      </c>
      <c r="I96" s="1">
        <v>26</v>
      </c>
      <c r="J96">
        <v>72</v>
      </c>
      <c r="K96">
        <v>9</v>
      </c>
      <c r="L96" s="3" t="s">
        <v>27</v>
      </c>
      <c r="M96" s="2">
        <v>6.9429459420325799</v>
      </c>
      <c r="N96" t="s">
        <v>61</v>
      </c>
      <c r="O96" t="s">
        <v>50</v>
      </c>
      <c r="P96">
        <v>12</v>
      </c>
      <c r="Q96">
        <v>908</v>
      </c>
      <c r="R96">
        <v>14</v>
      </c>
      <c r="S96">
        <v>60.387378614862101</v>
      </c>
      <c r="T96" t="s">
        <v>64</v>
      </c>
      <c r="U96" s="4">
        <v>1.4636074984727701</v>
      </c>
      <c r="V96" t="s">
        <v>47</v>
      </c>
      <c r="W96" t="s">
        <v>32</v>
      </c>
      <c r="X96">
        <v>846.66525698669398</v>
      </c>
      <c r="Y96" s="2">
        <f>Table1[[#This Row],[Revenue generated]]-Table1[[#This Row],[Manufacturing costs]]-Table1[[#This Row],[Shipping costs]]</f>
        <v>7821.0262221049752</v>
      </c>
      <c r="Z96" s="4">
        <f t="shared" si="2"/>
        <v>0.99146459415739929</v>
      </c>
    </row>
    <row r="97" spans="1:26" x14ac:dyDescent="0.3">
      <c r="A97" s="3" t="s">
        <v>24</v>
      </c>
      <c r="B97" s="3" t="s">
        <v>149</v>
      </c>
      <c r="C97" s="2">
        <v>77.903927219447695</v>
      </c>
      <c r="D97" s="1">
        <v>65</v>
      </c>
      <c r="E97" s="1">
        <v>672</v>
      </c>
      <c r="F97" s="5">
        <v>7386.3639440486604</v>
      </c>
      <c r="G97" t="s">
        <v>38</v>
      </c>
      <c r="H97">
        <v>15</v>
      </c>
      <c r="I97" s="1">
        <v>14</v>
      </c>
      <c r="J97">
        <v>26</v>
      </c>
      <c r="K97">
        <v>9</v>
      </c>
      <c r="L97" s="3" t="s">
        <v>27</v>
      </c>
      <c r="M97" s="2">
        <v>8.6303388696027508</v>
      </c>
      <c r="N97" t="s">
        <v>52</v>
      </c>
      <c r="O97" t="s">
        <v>29</v>
      </c>
      <c r="P97">
        <v>18</v>
      </c>
      <c r="Q97">
        <v>450</v>
      </c>
      <c r="R97">
        <v>26</v>
      </c>
      <c r="S97">
        <v>58.890685768589897</v>
      </c>
      <c r="T97" t="s">
        <v>30</v>
      </c>
      <c r="U97" s="4">
        <v>1.21088212958506</v>
      </c>
      <c r="V97" t="s">
        <v>40</v>
      </c>
      <c r="W97" t="s">
        <v>48</v>
      </c>
      <c r="X97">
        <v>778.86424137664699</v>
      </c>
      <c r="Y97" s="2">
        <f>Table1[[#This Row],[Revenue generated]]-Table1[[#This Row],[Manufacturing costs]]-Table1[[#This Row],[Shipping costs]]</f>
        <v>7318.8429194104683</v>
      </c>
      <c r="Z97" s="4">
        <f t="shared" si="2"/>
        <v>0.99085869242977187</v>
      </c>
    </row>
    <row r="98" spans="1:26" x14ac:dyDescent="0.3">
      <c r="A98" s="3" t="s">
        <v>57</v>
      </c>
      <c r="B98" s="3" t="s">
        <v>150</v>
      </c>
      <c r="C98" s="2">
        <v>24.423131420373299</v>
      </c>
      <c r="D98" s="1">
        <v>29</v>
      </c>
      <c r="E98" s="1">
        <v>324</v>
      </c>
      <c r="F98" s="5">
        <v>7698.4247656321104</v>
      </c>
      <c r="G98" t="s">
        <v>26</v>
      </c>
      <c r="H98">
        <v>67</v>
      </c>
      <c r="I98" s="1">
        <v>2</v>
      </c>
      <c r="J98">
        <v>32</v>
      </c>
      <c r="K98">
        <v>3</v>
      </c>
      <c r="L98" s="3" t="s">
        <v>43</v>
      </c>
      <c r="M98" s="2">
        <v>5.3528780439967996</v>
      </c>
      <c r="N98" t="s">
        <v>28</v>
      </c>
      <c r="O98" t="s">
        <v>29</v>
      </c>
      <c r="P98">
        <v>28</v>
      </c>
      <c r="Q98">
        <v>648</v>
      </c>
      <c r="R98">
        <v>28</v>
      </c>
      <c r="S98">
        <v>17.803756331391199</v>
      </c>
      <c r="T98" t="s">
        <v>30</v>
      </c>
      <c r="U98" s="4">
        <v>3.8720476814821301</v>
      </c>
      <c r="V98" t="s">
        <v>31</v>
      </c>
      <c r="W98" t="s">
        <v>48</v>
      </c>
      <c r="X98">
        <v>188.74214114905601</v>
      </c>
      <c r="Y98" s="2">
        <f>Table1[[#This Row],[Revenue generated]]-Table1[[#This Row],[Manufacturing costs]]-Table1[[#This Row],[Shipping costs]]</f>
        <v>7675.2681312567229</v>
      </c>
      <c r="Z98" s="4">
        <f t="shared" ref="Z98:Z101" si="3">(Y98/F98)</f>
        <v>0.99699202952807109</v>
      </c>
    </row>
    <row r="99" spans="1:26" x14ac:dyDescent="0.3">
      <c r="A99" s="3" t="s">
        <v>24</v>
      </c>
      <c r="B99" s="3" t="s">
        <v>151</v>
      </c>
      <c r="C99" s="2">
        <v>3.5261112591434101</v>
      </c>
      <c r="D99" s="1">
        <v>56</v>
      </c>
      <c r="E99" s="1">
        <v>62</v>
      </c>
      <c r="F99" s="5">
        <v>4370.9165799845296</v>
      </c>
      <c r="G99" t="s">
        <v>55</v>
      </c>
      <c r="H99">
        <v>46</v>
      </c>
      <c r="I99" s="1">
        <v>19</v>
      </c>
      <c r="J99">
        <v>4</v>
      </c>
      <c r="K99">
        <v>9</v>
      </c>
      <c r="L99" s="3" t="s">
        <v>36</v>
      </c>
      <c r="M99" s="2">
        <v>7.9048456112096703</v>
      </c>
      <c r="N99" t="s">
        <v>52</v>
      </c>
      <c r="O99" t="s">
        <v>29</v>
      </c>
      <c r="P99">
        <v>10</v>
      </c>
      <c r="Q99">
        <v>535</v>
      </c>
      <c r="R99">
        <v>13</v>
      </c>
      <c r="S99">
        <v>65.765155926367399</v>
      </c>
      <c r="T99" t="s">
        <v>46</v>
      </c>
      <c r="U99" s="4">
        <v>3.3762378347179798</v>
      </c>
      <c r="V99" t="s">
        <v>31</v>
      </c>
      <c r="W99" t="s">
        <v>48</v>
      </c>
      <c r="X99">
        <v>540.13242286796697</v>
      </c>
      <c r="Y99" s="2">
        <f>Table1[[#This Row],[Revenue generated]]-Table1[[#This Row],[Manufacturing costs]]-Table1[[#This Row],[Shipping costs]]</f>
        <v>4297.2465784469523</v>
      </c>
      <c r="Z99" s="4">
        <f t="shared" si="3"/>
        <v>0.98314541122222976</v>
      </c>
    </row>
    <row r="100" spans="1:26" x14ac:dyDescent="0.3">
      <c r="A100" s="3" t="s">
        <v>33</v>
      </c>
      <c r="B100" s="3" t="s">
        <v>152</v>
      </c>
      <c r="C100" s="2">
        <v>19.754604866878601</v>
      </c>
      <c r="D100" s="1">
        <v>43</v>
      </c>
      <c r="E100" s="1">
        <v>913</v>
      </c>
      <c r="F100" s="5">
        <v>8525.9525596835192</v>
      </c>
      <c r="G100" t="s">
        <v>35</v>
      </c>
      <c r="H100">
        <v>53</v>
      </c>
      <c r="I100" s="1">
        <v>1</v>
      </c>
      <c r="J100">
        <v>27</v>
      </c>
      <c r="K100">
        <v>7</v>
      </c>
      <c r="L100" s="3" t="s">
        <v>27</v>
      </c>
      <c r="M100" s="2">
        <v>1.4098010951380699</v>
      </c>
      <c r="N100" t="s">
        <v>44</v>
      </c>
      <c r="O100" t="s">
        <v>62</v>
      </c>
      <c r="P100">
        <v>28</v>
      </c>
      <c r="Q100">
        <v>581</v>
      </c>
      <c r="R100">
        <v>9</v>
      </c>
      <c r="S100">
        <v>5.6046908643717801</v>
      </c>
      <c r="T100" t="s">
        <v>30</v>
      </c>
      <c r="U100" s="4">
        <v>2.9081221693512598</v>
      </c>
      <c r="V100" t="s">
        <v>47</v>
      </c>
      <c r="W100" t="s">
        <v>48</v>
      </c>
      <c r="X100">
        <v>882.19886354704101</v>
      </c>
      <c r="Y100" s="2">
        <f>Table1[[#This Row],[Revenue generated]]-Table1[[#This Row],[Manufacturing costs]]-Table1[[#This Row],[Shipping costs]]</f>
        <v>8518.9380677240097</v>
      </c>
      <c r="Z100" s="4">
        <f t="shared" si="3"/>
        <v>0.99917727762259911</v>
      </c>
    </row>
    <row r="101" spans="1:26" x14ac:dyDescent="0.3">
      <c r="A101" s="3" t="s">
        <v>24</v>
      </c>
      <c r="B101" s="3" t="s">
        <v>153</v>
      </c>
      <c r="C101" s="2">
        <v>68.517832699276596</v>
      </c>
      <c r="D101" s="1">
        <v>17</v>
      </c>
      <c r="E101" s="1">
        <v>627</v>
      </c>
      <c r="F101" s="5">
        <v>9185.1858291817007</v>
      </c>
      <c r="G101" t="s">
        <v>38</v>
      </c>
      <c r="H101">
        <v>55</v>
      </c>
      <c r="I101" s="1">
        <v>8</v>
      </c>
      <c r="J101">
        <v>59</v>
      </c>
      <c r="K101">
        <v>6</v>
      </c>
      <c r="L101" s="3" t="s">
        <v>27</v>
      </c>
      <c r="M101" s="2">
        <v>1.3110237561206199</v>
      </c>
      <c r="N101" t="s">
        <v>61</v>
      </c>
      <c r="O101" t="s">
        <v>62</v>
      </c>
      <c r="P101">
        <v>29</v>
      </c>
      <c r="Q101">
        <v>921</v>
      </c>
      <c r="R101">
        <v>2</v>
      </c>
      <c r="S101">
        <v>38.072898520625998</v>
      </c>
      <c r="T101" t="s">
        <v>46</v>
      </c>
      <c r="U101" s="4">
        <v>0.34602729070550298</v>
      </c>
      <c r="V101" t="s">
        <v>47</v>
      </c>
      <c r="W101" t="s">
        <v>32</v>
      </c>
      <c r="X101">
        <v>210.743008964246</v>
      </c>
      <c r="Y101" s="2">
        <f>Table1[[#This Row],[Revenue generated]]-Table1[[#This Row],[Manufacturing costs]]-Table1[[#This Row],[Shipping costs]]</f>
        <v>9145.8019069049533</v>
      </c>
      <c r="Z101" s="4">
        <f t="shared" si="3"/>
        <v>0.99571223456888336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A4BCA-44F1-4522-994C-EAD8C1E2BE84}">
  <dimension ref="A3:C50"/>
  <sheetViews>
    <sheetView workbookViewId="0">
      <selection activeCell="R10" sqref="R10"/>
    </sheetView>
  </sheetViews>
  <sheetFormatPr defaultRowHeight="14.4" x14ac:dyDescent="0.3"/>
  <cols>
    <col min="1" max="2" width="12.44140625" bestFit="1" customWidth="1"/>
    <col min="3" max="3" width="23.21875" bestFit="1" customWidth="1"/>
  </cols>
  <sheetData>
    <row r="3" spans="1:2" x14ac:dyDescent="0.3">
      <c r="A3" s="6" t="s">
        <v>159</v>
      </c>
      <c r="B3" t="s">
        <v>161</v>
      </c>
    </row>
    <row r="4" spans="1:2" x14ac:dyDescent="0.3">
      <c r="A4" s="7" t="s">
        <v>57</v>
      </c>
      <c r="B4">
        <v>161521.26599948306</v>
      </c>
    </row>
    <row r="5" spans="1:2" x14ac:dyDescent="0.3">
      <c r="A5" s="7" t="s">
        <v>24</v>
      </c>
      <c r="B5">
        <v>174455.39060546222</v>
      </c>
    </row>
    <row r="6" spans="1:2" x14ac:dyDescent="0.3">
      <c r="A6" s="7" t="s">
        <v>33</v>
      </c>
      <c r="B6">
        <v>241628.16213306302</v>
      </c>
    </row>
    <row r="7" spans="1:2" x14ac:dyDescent="0.3">
      <c r="A7" s="7" t="s">
        <v>160</v>
      </c>
      <c r="B7">
        <v>577604.81873800792</v>
      </c>
    </row>
    <row r="16" spans="1:2" x14ac:dyDescent="0.3">
      <c r="A16" s="6" t="s">
        <v>159</v>
      </c>
      <c r="B16" t="s">
        <v>165</v>
      </c>
    </row>
    <row r="17" spans="1:2" x14ac:dyDescent="0.3">
      <c r="A17" s="7" t="s">
        <v>40</v>
      </c>
      <c r="B17" s="2">
        <v>6.0178393777286159</v>
      </c>
    </row>
    <row r="18" spans="1:2" x14ac:dyDescent="0.3">
      <c r="A18" s="7" t="s">
        <v>47</v>
      </c>
      <c r="B18" s="2">
        <v>5.4690979361028562</v>
      </c>
    </row>
    <row r="19" spans="1:2" x14ac:dyDescent="0.3">
      <c r="A19" s="7" t="s">
        <v>31</v>
      </c>
      <c r="B19" s="2">
        <v>5.542115390045792</v>
      </c>
    </row>
    <row r="20" spans="1:2" x14ac:dyDescent="0.3">
      <c r="A20" s="7" t="s">
        <v>56</v>
      </c>
      <c r="B20" s="2">
        <v>4.9702938152238989</v>
      </c>
    </row>
    <row r="21" spans="1:2" x14ac:dyDescent="0.3">
      <c r="A21" s="7" t="s">
        <v>160</v>
      </c>
      <c r="B21" s="2">
        <v>5.548149072019581</v>
      </c>
    </row>
    <row r="32" spans="1:2" x14ac:dyDescent="0.3">
      <c r="A32" s="6" t="s">
        <v>159</v>
      </c>
      <c r="B32" t="s">
        <v>161</v>
      </c>
    </row>
    <row r="33" spans="1:3" x14ac:dyDescent="0.3">
      <c r="A33" s="7" t="s">
        <v>62</v>
      </c>
      <c r="B33">
        <v>119142.8157480693</v>
      </c>
    </row>
    <row r="34" spans="1:3" x14ac:dyDescent="0.3">
      <c r="A34" s="7" t="s">
        <v>53</v>
      </c>
      <c r="B34">
        <v>102601.72388223567</v>
      </c>
    </row>
    <row r="35" spans="1:3" x14ac:dyDescent="0.3">
      <c r="A35" s="7" t="s">
        <v>50</v>
      </c>
      <c r="B35">
        <v>81027.701224852935</v>
      </c>
    </row>
    <row r="36" spans="1:3" x14ac:dyDescent="0.3">
      <c r="A36" s="7" t="s">
        <v>45</v>
      </c>
      <c r="B36">
        <v>137077.55100538101</v>
      </c>
    </row>
    <row r="37" spans="1:3" x14ac:dyDescent="0.3">
      <c r="A37" s="7" t="s">
        <v>29</v>
      </c>
      <c r="B37">
        <v>137755.02687746932</v>
      </c>
    </row>
    <row r="38" spans="1:3" x14ac:dyDescent="0.3">
      <c r="A38" s="7" t="s">
        <v>160</v>
      </c>
      <c r="B38">
        <v>577604.81873800792</v>
      </c>
    </row>
    <row r="46" spans="1:3" x14ac:dyDescent="0.3">
      <c r="B46" s="6" t="s">
        <v>159</v>
      </c>
      <c r="C46" t="s">
        <v>166</v>
      </c>
    </row>
    <row r="47" spans="1:3" x14ac:dyDescent="0.3">
      <c r="B47" s="7" t="s">
        <v>46</v>
      </c>
      <c r="C47">
        <v>100</v>
      </c>
    </row>
    <row r="48" spans="1:3" x14ac:dyDescent="0.3">
      <c r="B48" s="7" t="s">
        <v>64</v>
      </c>
      <c r="C48">
        <v>100</v>
      </c>
    </row>
    <row r="49" spans="2:3" x14ac:dyDescent="0.3">
      <c r="B49" s="7" t="s">
        <v>30</v>
      </c>
      <c r="C49">
        <v>100</v>
      </c>
    </row>
    <row r="50" spans="2:3" x14ac:dyDescent="0.3">
      <c r="B50" s="7" t="s">
        <v>160</v>
      </c>
      <c r="C50">
        <v>100</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3757E-5C94-4082-B5F3-660EE68266D5}">
  <dimension ref="A3:G18"/>
  <sheetViews>
    <sheetView zoomScale="110" zoomScaleNormal="100" workbookViewId="0">
      <selection activeCell="E18" sqref="E18"/>
    </sheetView>
  </sheetViews>
  <sheetFormatPr defaultRowHeight="14.4" x14ac:dyDescent="0.3"/>
  <cols>
    <col min="1" max="1" width="23.6640625" bestFit="1" customWidth="1"/>
    <col min="2" max="2" width="16.33203125" bestFit="1" customWidth="1"/>
    <col min="4" max="4" width="19.6640625" bestFit="1" customWidth="1"/>
    <col min="5" max="5" width="12" bestFit="1" customWidth="1"/>
    <col min="6" max="6" width="17.5546875" bestFit="1" customWidth="1"/>
    <col min="7" max="7" width="28.44140625" bestFit="1" customWidth="1"/>
  </cols>
  <sheetData>
    <row r="3" spans="1:2" x14ac:dyDescent="0.3">
      <c r="A3" s="6" t="s">
        <v>159</v>
      </c>
      <c r="B3" t="s">
        <v>163</v>
      </c>
    </row>
    <row r="4" spans="1:2" x14ac:dyDescent="0.3">
      <c r="A4" s="7" t="s">
        <v>39</v>
      </c>
      <c r="B4">
        <v>1.8036297116882485</v>
      </c>
    </row>
    <row r="5" spans="1:2" x14ac:dyDescent="0.3">
      <c r="A5" s="7" t="s">
        <v>61</v>
      </c>
      <c r="B5">
        <v>2.3627501450718764</v>
      </c>
    </row>
    <row r="6" spans="1:2" x14ac:dyDescent="0.3">
      <c r="A6" s="7" t="s">
        <v>28</v>
      </c>
      <c r="B6">
        <v>2.4657860307644657</v>
      </c>
    </row>
    <row r="7" spans="1:2" x14ac:dyDescent="0.3">
      <c r="A7" s="7" t="s">
        <v>52</v>
      </c>
      <c r="B7">
        <v>2.3373974005913354</v>
      </c>
    </row>
    <row r="8" spans="1:2" x14ac:dyDescent="0.3">
      <c r="A8" s="7" t="s">
        <v>44</v>
      </c>
      <c r="B8">
        <v>2.6654083441491982</v>
      </c>
    </row>
    <row r="9" spans="1:2" x14ac:dyDescent="0.3">
      <c r="A9" s="7" t="s">
        <v>160</v>
      </c>
      <c r="B9">
        <v>2.2771579927396073</v>
      </c>
    </row>
    <row r="17" spans="1:7" x14ac:dyDescent="0.3">
      <c r="A17" t="s">
        <v>161</v>
      </c>
      <c r="B17" t="s">
        <v>170</v>
      </c>
      <c r="D17" t="s">
        <v>164</v>
      </c>
      <c r="E17" t="s">
        <v>172</v>
      </c>
      <c r="F17" t="s">
        <v>162</v>
      </c>
      <c r="G17" t="s">
        <v>171</v>
      </c>
    </row>
    <row r="18" spans="1:7" x14ac:dyDescent="0.3">
      <c r="A18">
        <v>577604.81873800792</v>
      </c>
      <c r="B18">
        <v>1596</v>
      </c>
      <c r="D18">
        <v>554.81490720195836</v>
      </c>
      <c r="E18">
        <v>572323.33450665907</v>
      </c>
      <c r="F18">
        <v>227.71579927396073</v>
      </c>
      <c r="G18">
        <v>46099</v>
      </c>
    </row>
  </sheetData>
  <pageMargins left="0.7" right="0.7" top="0.75" bottom="0.75" header="0.3" footer="0.3"/>
  <pageSetup orientation="portrait"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23E8B-4742-44D4-94FB-8CC9EA5CA47E}">
  <dimension ref="A1:AO111"/>
  <sheetViews>
    <sheetView showGridLines="0" showRowColHeaders="0" tabSelected="1" zoomScale="67" zoomScaleNormal="68" workbookViewId="0">
      <selection activeCell="S22" sqref="S22"/>
    </sheetView>
  </sheetViews>
  <sheetFormatPr defaultRowHeight="14.4" x14ac:dyDescent="0.3"/>
  <cols>
    <col min="3" max="3" width="6.5546875" customWidth="1"/>
    <col min="5" max="5" width="16.44140625" customWidth="1"/>
    <col min="6" max="6" width="12.5546875" customWidth="1"/>
    <col min="7" max="7" width="15.5546875" customWidth="1"/>
    <col min="8" max="8" width="8.88671875" customWidth="1"/>
    <col min="9" max="9" width="17.77734375" customWidth="1"/>
    <col min="11" max="11" width="17.44140625" customWidth="1"/>
    <col min="12" max="12" width="8.88671875" customWidth="1"/>
    <col min="13" max="13" width="15.77734375" customWidth="1"/>
    <col min="15" max="15" width="14.109375" customWidth="1"/>
  </cols>
  <sheetData>
    <row r="1" spans="1:41" ht="27" customHeight="1" thickBot="1" x14ac:dyDescent="0.35">
      <c r="A1" s="11" t="s">
        <v>173</v>
      </c>
      <c r="B1" s="11"/>
      <c r="C1" s="11"/>
      <c r="D1" s="11"/>
      <c r="E1" s="11"/>
      <c r="F1" s="11"/>
      <c r="G1" s="11"/>
      <c r="H1" s="11"/>
      <c r="I1" s="11"/>
      <c r="J1" s="11"/>
      <c r="K1" s="11"/>
      <c r="L1" s="11"/>
      <c r="M1" s="11"/>
      <c r="N1" s="11"/>
      <c r="O1" s="11"/>
      <c r="P1" s="8"/>
      <c r="Q1" s="8"/>
      <c r="R1" s="8"/>
      <c r="S1" s="8"/>
      <c r="T1" s="8"/>
      <c r="U1" s="8"/>
      <c r="V1" s="8"/>
      <c r="W1" s="8"/>
      <c r="X1" s="8"/>
      <c r="Y1" s="8"/>
      <c r="Z1" s="8"/>
      <c r="AA1" s="8"/>
      <c r="AB1" s="8"/>
      <c r="AC1" s="8"/>
      <c r="AD1" s="8"/>
      <c r="AE1" s="8"/>
      <c r="AF1" s="8"/>
      <c r="AG1" s="8"/>
      <c r="AH1" s="8"/>
      <c r="AI1" s="8"/>
      <c r="AJ1" s="8"/>
      <c r="AK1" s="8"/>
      <c r="AL1" s="8"/>
      <c r="AM1" s="8"/>
      <c r="AN1" s="8"/>
      <c r="AO1" s="8"/>
    </row>
    <row r="2" spans="1:41" ht="14.4" customHeight="1" x14ac:dyDescent="0.3">
      <c r="A2" s="8"/>
      <c r="B2" s="8"/>
      <c r="C2" s="8"/>
      <c r="D2" s="16" t="s">
        <v>158</v>
      </c>
      <c r="E2" s="16"/>
      <c r="F2" s="12" t="s">
        <v>169</v>
      </c>
      <c r="G2" s="12"/>
      <c r="H2" s="12" t="s">
        <v>167</v>
      </c>
      <c r="I2" s="12"/>
      <c r="J2" s="12" t="s">
        <v>168</v>
      </c>
      <c r="K2" s="12"/>
      <c r="L2" s="13" t="s">
        <v>156</v>
      </c>
      <c r="M2" s="13"/>
      <c r="N2" s="13" t="s">
        <v>157</v>
      </c>
      <c r="O2" s="13"/>
      <c r="P2" s="8"/>
      <c r="Q2" s="8"/>
      <c r="R2" s="8"/>
      <c r="S2" s="8"/>
      <c r="T2" s="8"/>
      <c r="U2" s="8"/>
      <c r="V2" s="8"/>
      <c r="W2" s="8"/>
      <c r="X2" s="8"/>
      <c r="Y2" s="8"/>
      <c r="Z2" s="8"/>
      <c r="AA2" s="8"/>
      <c r="AB2" s="8"/>
      <c r="AC2" s="8"/>
      <c r="AD2" s="8"/>
      <c r="AE2" s="8"/>
      <c r="AF2" s="8"/>
      <c r="AG2" s="8"/>
      <c r="AH2" s="8"/>
      <c r="AI2" s="8"/>
      <c r="AJ2" s="8"/>
      <c r="AK2" s="8"/>
      <c r="AL2" s="8"/>
      <c r="AM2" s="8"/>
      <c r="AN2" s="8"/>
      <c r="AO2" s="8"/>
    </row>
    <row r="3" spans="1:41" ht="14.4" customHeight="1" x14ac:dyDescent="0.3">
      <c r="A3" s="8"/>
      <c r="B3" s="8"/>
      <c r="C3" s="8"/>
      <c r="D3" s="17"/>
      <c r="E3" s="17"/>
      <c r="F3" s="13"/>
      <c r="G3" s="13"/>
      <c r="H3" s="13"/>
      <c r="I3" s="13"/>
      <c r="J3" s="13"/>
      <c r="K3" s="13"/>
      <c r="L3" s="13"/>
      <c r="M3" s="13"/>
      <c r="N3" s="13"/>
      <c r="O3" s="13"/>
      <c r="P3" s="8"/>
      <c r="Q3" s="8"/>
      <c r="R3" s="8"/>
      <c r="S3" s="8"/>
      <c r="T3" s="8"/>
      <c r="U3" s="8"/>
      <c r="V3" s="8"/>
      <c r="W3" s="8"/>
      <c r="X3" s="8"/>
      <c r="Y3" s="8"/>
      <c r="Z3" s="8"/>
      <c r="AA3" s="8"/>
      <c r="AB3" s="8"/>
      <c r="AC3" s="8"/>
      <c r="AD3" s="8"/>
      <c r="AE3" s="8"/>
      <c r="AF3" s="8"/>
      <c r="AG3" s="8"/>
      <c r="AH3" s="8"/>
      <c r="AI3" s="8"/>
      <c r="AJ3" s="8"/>
      <c r="AK3" s="8"/>
      <c r="AL3" s="8"/>
      <c r="AM3" s="8"/>
      <c r="AN3" s="8"/>
      <c r="AO3" s="8"/>
    </row>
    <row r="4" spans="1:41" ht="17.399999999999999" customHeight="1" x14ac:dyDescent="0.3">
      <c r="A4" s="8"/>
      <c r="B4" s="8"/>
      <c r="C4" s="8"/>
      <c r="D4" s="18">
        <f>GETPIVOTDATA("[Measures].[Sum of Revenue generated]",Sheet5!$A$17)</f>
        <v>577604.81873800792</v>
      </c>
      <c r="E4" s="18"/>
      <c r="F4" s="19">
        <f>GETPIVOTDATA("[Measures].[Sum of Profit]",Sheet5!$D$17)</f>
        <v>572323.33450665907</v>
      </c>
      <c r="G4" s="19"/>
      <c r="H4" s="19">
        <f>GETPIVOTDATA("[Measures].[Sum of Shipping costs]",Sheet5!$D$17)</f>
        <v>554.81490720195836</v>
      </c>
      <c r="I4" s="19"/>
      <c r="J4" s="14">
        <f>GETPIVOTDATA("[Measures].[Sum of Defect rates]",Sheet5!$D$17)</f>
        <v>227.71579927396073</v>
      </c>
      <c r="K4" s="14"/>
      <c r="L4" s="15">
        <f>GETPIVOTDATA("[Measures].[Sum of Number of products sold]",Sheet5!$D$17)</f>
        <v>46099</v>
      </c>
      <c r="M4" s="15"/>
      <c r="N4" s="15">
        <f>GETPIVOTDATA("[Measures].[Sum of Lead times]",Sheet5!$B$17)</f>
        <v>1596</v>
      </c>
      <c r="O4" s="15"/>
      <c r="P4" s="8"/>
      <c r="Q4" s="8"/>
      <c r="R4" s="8"/>
      <c r="S4" s="8"/>
      <c r="T4" s="8"/>
      <c r="U4" s="8"/>
      <c r="V4" s="8"/>
      <c r="W4" s="8"/>
      <c r="X4" s="8"/>
      <c r="Y4" s="8"/>
      <c r="Z4" s="8"/>
      <c r="AA4" s="8"/>
      <c r="AB4" s="8"/>
      <c r="AC4" s="8"/>
      <c r="AD4" s="8"/>
      <c r="AE4" s="8"/>
      <c r="AF4" s="8"/>
      <c r="AG4" s="8"/>
      <c r="AH4" s="8"/>
      <c r="AI4" s="8"/>
      <c r="AJ4" s="8"/>
      <c r="AK4" s="8"/>
      <c r="AL4" s="8"/>
      <c r="AM4" s="8"/>
      <c r="AN4" s="8"/>
      <c r="AO4" s="8"/>
    </row>
    <row r="5" spans="1:41" ht="14.4" customHeight="1" x14ac:dyDescent="0.3">
      <c r="A5" s="8"/>
      <c r="B5" s="8"/>
      <c r="C5" s="8"/>
      <c r="D5" s="10"/>
      <c r="E5" s="10"/>
      <c r="F5" s="10"/>
      <c r="G5" s="10"/>
      <c r="H5" s="10"/>
      <c r="I5" s="10"/>
      <c r="J5" s="10"/>
      <c r="K5" s="10"/>
      <c r="L5" s="10"/>
      <c r="M5" s="10"/>
      <c r="N5" s="10"/>
      <c r="O5" s="10"/>
      <c r="P5" s="8"/>
      <c r="Q5" s="8"/>
      <c r="R5" s="8"/>
      <c r="S5" s="8"/>
      <c r="T5" s="8"/>
      <c r="U5" s="8"/>
      <c r="V5" s="8"/>
      <c r="W5" s="8"/>
      <c r="X5" s="8"/>
      <c r="Y5" s="8"/>
      <c r="Z5" s="8"/>
      <c r="AA5" s="8"/>
      <c r="AB5" s="8"/>
      <c r="AC5" s="8"/>
      <c r="AD5" s="8"/>
      <c r="AE5" s="8"/>
      <c r="AF5" s="8"/>
      <c r="AG5" s="8"/>
      <c r="AH5" s="8"/>
      <c r="AI5" s="8"/>
      <c r="AJ5" s="8"/>
      <c r="AK5" s="8"/>
      <c r="AL5" s="8"/>
      <c r="AM5" s="8"/>
      <c r="AN5" s="8"/>
      <c r="AO5" s="8"/>
    </row>
    <row r="6" spans="1:41" ht="14.4" customHeight="1" x14ac:dyDescent="0.3">
      <c r="A6" s="8"/>
      <c r="B6" s="8"/>
      <c r="C6" s="8"/>
      <c r="D6" s="10"/>
      <c r="E6" s="10"/>
      <c r="F6" s="10"/>
      <c r="G6" s="10"/>
      <c r="H6" s="10"/>
      <c r="I6" s="10"/>
      <c r="J6" s="10"/>
      <c r="K6" s="10"/>
      <c r="L6" s="10"/>
      <c r="M6" s="10"/>
      <c r="N6" s="10"/>
      <c r="O6" s="10"/>
      <c r="P6" s="8"/>
      <c r="Q6" s="8"/>
      <c r="R6" s="8"/>
      <c r="S6" s="8"/>
      <c r="T6" s="8"/>
      <c r="U6" s="8"/>
      <c r="V6" s="8"/>
      <c r="W6" s="8"/>
      <c r="X6" s="8"/>
      <c r="Y6" s="8"/>
      <c r="Z6" s="8"/>
      <c r="AA6" s="8"/>
      <c r="AB6" s="8"/>
      <c r="AC6" s="8"/>
      <c r="AD6" s="8"/>
      <c r="AE6" s="8"/>
      <c r="AF6" s="8"/>
      <c r="AG6" s="8"/>
      <c r="AH6" s="8"/>
      <c r="AI6" s="8"/>
      <c r="AJ6" s="8"/>
      <c r="AK6" s="8"/>
      <c r="AL6" s="8"/>
      <c r="AM6" s="8"/>
      <c r="AN6" s="8"/>
      <c r="AO6" s="8"/>
    </row>
    <row r="7" spans="1:41" x14ac:dyDescent="0.3">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row>
    <row r="8" spans="1:41" x14ac:dyDescent="0.3">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row>
    <row r="9" spans="1:41" x14ac:dyDescent="0.3">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row>
    <row r="10" spans="1:41" x14ac:dyDescent="0.3">
      <c r="A10" s="8"/>
      <c r="B10" s="8"/>
      <c r="C10" s="8"/>
      <c r="D10" s="8"/>
      <c r="E10" s="8"/>
      <c r="F10" s="8"/>
      <c r="G10" s="8"/>
      <c r="H10" s="8"/>
      <c r="I10" s="9"/>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row>
    <row r="11" spans="1:41" x14ac:dyDescent="0.3">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row>
    <row r="12" spans="1:41" x14ac:dyDescent="0.3">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row>
    <row r="13" spans="1:41" x14ac:dyDescent="0.3">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row>
    <row r="14" spans="1:41" x14ac:dyDescent="0.3">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row>
    <row r="15" spans="1:41" x14ac:dyDescent="0.3">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row>
    <row r="16" spans="1:41" x14ac:dyDescent="0.3">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row>
    <row r="17" spans="1:41" x14ac:dyDescent="0.3">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row>
    <row r="18" spans="1:41" x14ac:dyDescent="0.3">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row>
    <row r="19" spans="1:41" x14ac:dyDescent="0.3">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row>
    <row r="20" spans="1:41" x14ac:dyDescent="0.3">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row>
    <row r="21" spans="1:41" x14ac:dyDescent="0.3">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row>
    <row r="22" spans="1:41" x14ac:dyDescent="0.3">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row>
    <row r="23" spans="1:41" x14ac:dyDescent="0.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row>
    <row r="24" spans="1:41" x14ac:dyDescent="0.3">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row>
    <row r="25" spans="1:41" x14ac:dyDescent="0.3">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row>
    <row r="26" spans="1:41" x14ac:dyDescent="0.3">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row>
    <row r="27" spans="1:41" x14ac:dyDescent="0.3">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row>
    <row r="28" spans="1:41" x14ac:dyDescent="0.3">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row>
    <row r="29" spans="1:41" x14ac:dyDescent="0.3">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row>
    <row r="30" spans="1:41" x14ac:dyDescent="0.3">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row>
    <row r="31" spans="1:41" x14ac:dyDescent="0.3">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row>
    <row r="32" spans="1:41" x14ac:dyDescent="0.3">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row>
    <row r="33" spans="1:41" x14ac:dyDescent="0.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row>
    <row r="34" spans="1:41" x14ac:dyDescent="0.3">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row>
    <row r="35" spans="1:41" x14ac:dyDescent="0.3">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row>
    <row r="36" spans="1:41" x14ac:dyDescent="0.3">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row>
    <row r="37" spans="1:41" x14ac:dyDescent="0.3">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row>
    <row r="38" spans="1:41" x14ac:dyDescent="0.3">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row>
    <row r="39" spans="1:41" x14ac:dyDescent="0.3">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row>
    <row r="40" spans="1:41" x14ac:dyDescent="0.3">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row>
    <row r="41" spans="1:41" x14ac:dyDescent="0.3">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row>
    <row r="42" spans="1:41" x14ac:dyDescent="0.3">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row>
    <row r="43" spans="1:41" x14ac:dyDescent="0.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row>
    <row r="44" spans="1:41" x14ac:dyDescent="0.3">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row>
    <row r="45" spans="1:41" x14ac:dyDescent="0.3">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row>
    <row r="46" spans="1:41" x14ac:dyDescent="0.3">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row>
    <row r="47" spans="1:41" x14ac:dyDescent="0.3">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row>
    <row r="48" spans="1:41" x14ac:dyDescent="0.3">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row>
    <row r="49" spans="1:41" x14ac:dyDescent="0.3">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row>
    <row r="50" spans="1:41" x14ac:dyDescent="0.3">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row>
    <row r="51" spans="1:41" x14ac:dyDescent="0.3">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row>
    <row r="52" spans="1:41" x14ac:dyDescent="0.3">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row>
    <row r="53" spans="1:41" x14ac:dyDescent="0.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row>
    <row r="54" spans="1:41" x14ac:dyDescent="0.3">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row>
    <row r="55" spans="1:41" x14ac:dyDescent="0.3">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row>
    <row r="56" spans="1:41" x14ac:dyDescent="0.3">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row>
    <row r="57" spans="1:41" x14ac:dyDescent="0.3">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row>
    <row r="58" spans="1:41" x14ac:dyDescent="0.3">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row>
    <row r="59" spans="1:41" x14ac:dyDescent="0.3">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row>
    <row r="60" spans="1:41" x14ac:dyDescent="0.3">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row>
    <row r="61" spans="1:41" x14ac:dyDescent="0.3">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row>
    <row r="62" spans="1:41" x14ac:dyDescent="0.3">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row>
    <row r="63" spans="1:41" x14ac:dyDescent="0.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row>
    <row r="64" spans="1:41" x14ac:dyDescent="0.3">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row>
    <row r="65" spans="1:41" x14ac:dyDescent="0.3">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row>
    <row r="66" spans="1:41" x14ac:dyDescent="0.3">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row>
    <row r="67" spans="1:41" x14ac:dyDescent="0.3">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row>
    <row r="68" spans="1:41" x14ac:dyDescent="0.3">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row>
    <row r="69" spans="1:41" x14ac:dyDescent="0.3">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row>
    <row r="70" spans="1:41" x14ac:dyDescent="0.3">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row>
    <row r="71" spans="1:41" x14ac:dyDescent="0.3">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row>
    <row r="72" spans="1:41" x14ac:dyDescent="0.3">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row>
    <row r="73" spans="1:41" x14ac:dyDescent="0.3">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row>
    <row r="74" spans="1:41" x14ac:dyDescent="0.3">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row>
    <row r="75" spans="1:41" x14ac:dyDescent="0.3">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row>
    <row r="76" spans="1:41" x14ac:dyDescent="0.3">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row>
    <row r="77" spans="1:41" x14ac:dyDescent="0.3">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row>
    <row r="78" spans="1:41" x14ac:dyDescent="0.3">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row>
    <row r="79" spans="1:41" x14ac:dyDescent="0.3">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row>
    <row r="80" spans="1:41" x14ac:dyDescent="0.3">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row>
    <row r="81" spans="1:41" x14ac:dyDescent="0.3">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row>
    <row r="82" spans="1:41" x14ac:dyDescent="0.3">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row>
    <row r="83" spans="1:41" x14ac:dyDescent="0.3">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row>
    <row r="84" spans="1:41" x14ac:dyDescent="0.3">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row>
    <row r="85" spans="1:41" x14ac:dyDescent="0.3">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row>
    <row r="86" spans="1:41" x14ac:dyDescent="0.3">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row>
    <row r="87" spans="1:41" x14ac:dyDescent="0.3">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row>
    <row r="88" spans="1:41" x14ac:dyDescent="0.3">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row>
    <row r="89" spans="1:41" x14ac:dyDescent="0.3">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row>
    <row r="90" spans="1:41" x14ac:dyDescent="0.3">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row>
    <row r="91" spans="1:41" x14ac:dyDescent="0.3">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row>
    <row r="92" spans="1:41" x14ac:dyDescent="0.3">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row>
    <row r="93" spans="1:41" x14ac:dyDescent="0.3">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row>
    <row r="94" spans="1:41" x14ac:dyDescent="0.3">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row>
    <row r="95" spans="1:41" x14ac:dyDescent="0.3">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row>
    <row r="96" spans="1:41" x14ac:dyDescent="0.3">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row>
    <row r="97" spans="1:41" x14ac:dyDescent="0.3">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row>
    <row r="98" spans="1:41" x14ac:dyDescent="0.3">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row>
    <row r="99" spans="1:41" x14ac:dyDescent="0.3">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row>
    <row r="100" spans="1:41" x14ac:dyDescent="0.3">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row>
    <row r="101" spans="1:41" x14ac:dyDescent="0.3">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row>
    <row r="102" spans="1:41" x14ac:dyDescent="0.3">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row>
    <row r="103" spans="1:41" x14ac:dyDescent="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row>
    <row r="104" spans="1:41" x14ac:dyDescent="0.3">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row>
    <row r="105" spans="1:41" x14ac:dyDescent="0.3">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row>
    <row r="106" spans="1:41" x14ac:dyDescent="0.3">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row>
    <row r="107" spans="1:41" x14ac:dyDescent="0.3">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row>
    <row r="108" spans="1:41" x14ac:dyDescent="0.3">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row>
    <row r="109" spans="1:41" x14ac:dyDescent="0.3">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row>
    <row r="110" spans="1:41" x14ac:dyDescent="0.3">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row>
    <row r="111" spans="1:41" x14ac:dyDescent="0.3">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row>
  </sheetData>
  <mergeCells count="13">
    <mergeCell ref="A1:O1"/>
    <mergeCell ref="J2:K3"/>
    <mergeCell ref="J4:K4"/>
    <mergeCell ref="L2:M3"/>
    <mergeCell ref="L4:M4"/>
    <mergeCell ref="N2:O3"/>
    <mergeCell ref="N4:O4"/>
    <mergeCell ref="D2:E3"/>
    <mergeCell ref="D4:E4"/>
    <mergeCell ref="F2:G3"/>
    <mergeCell ref="F4:G4"/>
    <mergeCell ref="H2:I3"/>
    <mergeCell ref="H4:I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supply_chain_data</vt:lpstr>
      <vt:lpstr>Sheet3</vt:lpstr>
      <vt:lpstr>Sheet5</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NASIF NASIF</cp:lastModifiedBy>
  <cp:lastPrinted>2026-05-15T09:58:10Z</cp:lastPrinted>
  <dcterms:created xsi:type="dcterms:W3CDTF">2026-05-12T06:44:41Z</dcterms:created>
  <dcterms:modified xsi:type="dcterms:W3CDTF">2026-05-15T10:32:49Z</dcterms:modified>
</cp:coreProperties>
</file>